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d.docs.live.net/9f3985243025a284/Documents/ITCR/01 - Bachillerato/06 - Bases de Datos 1/01 - Instancias/2022 - 02/Revisión Proyecto 1/"/>
    </mc:Choice>
  </mc:AlternateContent>
  <xr:revisionPtr revIDLastSave="189" documentId="13_ncr:1_{AF9E15A7-CB58-408D-A846-F779430D83BE}" xr6:coauthVersionLast="47" xr6:coauthVersionMax="47" xr10:uidLastSave="{A7E234F2-8E69-4361-9EF4-1FD2C7244CFA}"/>
  <bookViews>
    <workbookView xWindow="-120" yWindow="-120" windowWidth="29040" windowHeight="15840" xr2:uid="{8E1BA44A-F66A-4B42-8417-3116C2B3EDEB}"/>
  </bookViews>
  <sheets>
    <sheet name="Rúbrica Proyecto 1 - Versión 3" sheetId="1" r:id="rId1"/>
  </sheets>
  <functionGroups builtInGroupCount="19"/>
  <calcPr calcId="191029" concurrentCalc="0"/>
  <pivotCaches>
    <pivotCache cacheId="0" r:id="rId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3" i="1" l="1"/>
  <c r="D8" i="1" a="1"/>
  <c r="D30" i="1" a="1"/>
  <c r="D31" i="1" a="1"/>
  <c r="D21" i="1" a="1"/>
  <c r="D16" i="1" a="1"/>
  <c r="D5" i="1" a="1"/>
  <c r="D12" i="1" a="1"/>
  <c r="D11" i="1" a="1"/>
  <c r="D17" i="1" a="1"/>
  <c r="D4" i="1" a="1"/>
  <c r="D26" i="1" a="1"/>
  <c r="D27" i="1" a="1"/>
  <c r="D28" i="1" a="1"/>
  <c r="D29" i="1" a="1"/>
  <c r="D15" i="1" a="1"/>
  <c r="D7" i="1" a="1"/>
  <c r="D14" i="1" a="1"/>
  <c r="D32" i="1" a="1"/>
  <c r="D10" i="1" a="1"/>
  <c r="D6" i="1" a="1"/>
  <c r="D9" i="1" a="1"/>
  <c r="D23" i="1" a="1"/>
  <c r="D22" i="1" a="1"/>
  <c r="D25" i="1" a="1"/>
  <c r="D13" i="1" a="1"/>
  <c r="D18" i="1" a="1"/>
  <c r="D19" i="1" a="1"/>
  <c r="D20" i="1" a="1"/>
  <c r="D24" i="1" a="1"/>
  <c r="D24" i="1"/>
  <c r="D25" i="1"/>
  <c r="D9" i="1"/>
  <c r="D32" i="1"/>
  <c r="D8" i="1"/>
  <c r="D31" i="1"/>
  <c r="D23" i="1"/>
  <c r="D10" i="1"/>
  <c r="D30" i="1"/>
  <c r="D29" i="1"/>
  <c r="D27" i="1"/>
  <c r="D6" i="1"/>
  <c r="D22" i="1"/>
  <c r="D18" i="1"/>
  <c r="D17" i="1"/>
  <c r="D16" i="1"/>
  <c r="D28" i="1"/>
  <c r="D15" i="1"/>
  <c r="D7" i="1"/>
  <c r="D14" i="1"/>
  <c r="D12" i="1"/>
  <c r="D11" i="1"/>
  <c r="D21" i="1"/>
  <c r="D20" i="1"/>
  <c r="D19" i="1"/>
  <c r="D26" i="1"/>
  <c r="D13" i="1"/>
  <c r="D5" i="1"/>
  <c r="D4" i="1"/>
  <c r="D3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<sst xmlns="http://schemas.openxmlformats.org/spreadsheetml/2006/main" count="210" uniqueCount="129">
  <si>
    <t>Excelente</t>
  </si>
  <si>
    <t>Muy bueno</t>
  </si>
  <si>
    <t>Regular</t>
  </si>
  <si>
    <t>Deficiente</t>
  </si>
  <si>
    <t>Aceptable</t>
  </si>
  <si>
    <t>Respaldo de Scripts</t>
  </si>
  <si>
    <t>Entrega el 100% de los scripts utilizados para llenar la base de datos, de manera que se pueda poner a prueba la aplicación en ambitos de cargo de datos considerables.</t>
  </si>
  <si>
    <t>Entrega entre un 99% y un 95% de los scripts de llenado de datos de la base de datos.</t>
  </si>
  <si>
    <t>Entrega entre un 94% y un 90% de los scripts de llenado de datos de la base de datos.</t>
  </si>
  <si>
    <t>Entrega menor al 80% de los scripts de llenado de datos de la base de datos.</t>
  </si>
  <si>
    <t>Diccionario de Datos</t>
  </si>
  <si>
    <t>Entrega entre un 89% y 80% de los scripts de llenado de datos de la base de datos.</t>
  </si>
  <si>
    <t>No hay entregable.</t>
  </si>
  <si>
    <t>Se posee el diccionario de datos con un valor entre el 89% y el 80% de los datos presentes en la base de datos utilizada.</t>
  </si>
  <si>
    <t>Se posee el diccionario de datos con un valor entre el 94% y el 90% de los datos presentes en la base de datos utilizada.</t>
  </si>
  <si>
    <t>Se posee el diccionario de datos con un valor entre el 99% y el 95% de los datos presentes en la base de datos utilizada.</t>
  </si>
  <si>
    <t>Se posee el diccionario de datos con un 100% de los datos presentes en la base de datos utilizada.</t>
  </si>
  <si>
    <t>Manual de Usuario</t>
  </si>
  <si>
    <t>El manual presenta profesionalidad, es agrable a la vista y contiene el 100% de la explicación del uso del sistema. Se hace uso de imágenes significativas como complemento a las explciaciones a lo largo del documento.</t>
  </si>
  <si>
    <t>El manual presenta profesionalidad, es agradable a la vista y contiene entre un 99% y un 90% de la explicación del uso del sistema. Se hace uso de imágenes significativas como complemento a las explciaciones a lo largo del documento.</t>
  </si>
  <si>
    <t>El manual presenta cierto nivel de profesionalidad, es agradable a la vista y contiene entre un 89% y un 80% de la explicación del uso del sistema. Se hace cierto uso de imágenes significativas como complemento a las explciaciones a lo largo del documento.</t>
  </si>
  <si>
    <t>El manual no es agradable de leer. Incluye menos del 80% de la explicación del uso del sistema. Menos del 80% de las funcionalidades importantes está documentadas con imágenes significativas.</t>
  </si>
  <si>
    <t>Casos de Prueba</t>
  </si>
  <si>
    <t xml:space="preserve">Presenta 50 casos de prueba, como mínimo, documentados con su respectivo estado (Certificado, Con Errores, Pendiente) y se puede comprobar que los estados son consistentes con el sistema. El 90% de los casos de prueba (45) se relacionan a procesos críticos. Al menos un 80% (40) de los casos de prueba críticos están Certificados. Se presenta una tabla pivote con el resumen de los estados. </t>
  </si>
  <si>
    <t xml:space="preserve">Presenta 50 casos de prueba, como mínimo, documentados con su respectivo estado (Certificado, Con Errores, Pendiente) y se puede comprobar que los estados son consistentes con el sistema. El 80% de los casos de prueba (40) se relacionan a procesos críticos. Al menos un 70% (35) de los casos de prueba críticos están Certificados. Se presenta una tabla pivote con el resumen de los estados. </t>
  </si>
  <si>
    <t>Presenta menos de 50 casos de prueba documentados con su respectivo estado (Certificado, Con Errores, Pendiente) o es imposible comprobar si los estados son consistentes con el sistema. Presenta menos de un 70% de casos de prueba de procesos críticos. Algunos casos de prueba son irrelevantes, no tienen estado o están incompletos.</t>
  </si>
  <si>
    <t xml:space="preserve">Presenta menos de 50 casos de prueba documentados con su respectivo estado (Certificado, Con Errores, Pendiente) o es imposible comprobar si los estados son consistentes con el sistema. Presenta menos de un 50% de casos de prueba de procesos críticos. </t>
  </si>
  <si>
    <t>Diseño Orientado a Capas</t>
  </si>
  <si>
    <t>Aplica una separación de capaz de manera correcta, lógica y estable.</t>
  </si>
  <si>
    <t>El sistema posee un sistema de capaz, pero requiere mejoras leves.</t>
  </si>
  <si>
    <t>El sistema no posee un diseño orientado a capaz.</t>
  </si>
  <si>
    <t>Clean Code</t>
  </si>
  <si>
    <t>Se aplican principios básicos del libro Clean Code para aumentar la mantenibilidad del código.</t>
  </si>
  <si>
    <t>Aplica principios de Clean Code, pero requiere mejoras leves.</t>
  </si>
  <si>
    <t>El código no está debidamente documentado.</t>
  </si>
  <si>
    <t>Seguridad - Inicio de Sesión</t>
  </si>
  <si>
    <t>Se inicia sesión correctamente utilizando una combinación de nombre de usuario y contraseña. Cuando los datos son incorrectos se muestra un error correspondiente. Las contraseñas son guardadas con encriptación según un algoritmo de la industria (RSA, DSA, R5,etc.). Posee reglas de validación tales como tener combinaciones de letras mayusculas, minusculas, números y caracteres.</t>
  </si>
  <si>
    <t>Se puede iniciar sesión correctamente, pero necesita mejoras leves.</t>
  </si>
  <si>
    <t>No se puede iniciar sesión correctamente</t>
  </si>
  <si>
    <t>Al iniciar sesión se presentan errores, o la contraseña no se encuentra encriptada en la base de datos. Las contraseñas no poseen reglas de validación o límites de seguridad.</t>
  </si>
  <si>
    <t>Campos de Auditoría</t>
  </si>
  <si>
    <t>El 100% de las tablas del proyecto poseen los campos de auditoría debidamente identificados y funcionales.</t>
  </si>
  <si>
    <t>Entre un 99% y un 95% de las tablas del proyecto poseen los campos de auditoría debidamente identificados y funcionales.</t>
  </si>
  <si>
    <t>Eentre un 94% y un 90% de las tablas del proyecto poseen los campos de auditoría debidamente identificados y funcionales.</t>
  </si>
  <si>
    <t>Entre un 89% y un 80% de las tablas del proyecto poseen los campos de auditoría debidamente identificados y funcionales.</t>
  </si>
  <si>
    <t>Menos del 80% de las tablas del proyecto poseen los campos de auditoría debidamente identificados y funcionales.</t>
  </si>
  <si>
    <t>El sistema es estable y robusto. Utiliza correctamente el manejo de errores y no falla. Los intentos de hacer el sistema fallar por parte del usuario son inútiles.</t>
  </si>
  <si>
    <t>El sistema es estable y robusto. Posee el manejo de errores y excepciones pero requiere leves mejoras.</t>
  </si>
  <si>
    <t>El sistema no es estable. No utiliza el manejo de excepciones.</t>
  </si>
  <si>
    <t>Registro de Datos</t>
  </si>
  <si>
    <t>Los datos necesarios para el sistema se ingresan correctamente a la base de datos y se mantienen estables mientras se hacen más registros. Cuando se actualiza un dato este lo hace de manera correcta sin generar errores o inconsistencias. Los parámetros necesarios por cada entidad son debidamente almacenados en la base de datos</t>
  </si>
  <si>
    <t>Los datos se ingresan correctamente pero existen errores leves en la base de datos que no terminan de afectar considerablemente el sistema. Puede presentar lectura de datos inconsistentes. Al actualizar los datos, puede haber lecturas de datos inconsistentes con los datos pedidos.</t>
  </si>
  <si>
    <t>Presenta errores al ingresar cualquier información a la base de datos. Se presentan errores de integridad en relaciones de los datos. No actualiza correctamente las tablas a la hora de querer modificar algún dato.</t>
  </si>
  <si>
    <t>Bitácora</t>
  </si>
  <si>
    <t>Los cambios realizados en los catálogos se guardan en la bitácora. Debe almacenar fecha, hora, tipo de cambio, objeto, descripción del cambio y el nombre del usuario que lo realizó.</t>
  </si>
  <si>
    <t>Se tiene una bitácora pero requiere leves mejoras.</t>
  </si>
  <si>
    <t>No se encuentra la bitácora en el sistema</t>
  </si>
  <si>
    <t>Catálogos</t>
  </si>
  <si>
    <t>Toda la información del sistema es ingresada desde la aplicación y no desde la base de datos. Todo ingreso debe tener su respectiva pantalla en el front end para el registro, modificación y eliminación de cada registro de catálogos.</t>
  </si>
  <si>
    <t>Entre un 99% y un 95% de los datos son parametrizables en el catálogo.</t>
  </si>
  <si>
    <t>Menos del 80% de los datos son parametrizables o no están debidamente parametrizados.</t>
  </si>
  <si>
    <t>Entre un 94% y un 90% de los datos son parametrizables en el catálogo.</t>
  </si>
  <si>
    <t>Entre un 89% y un 80% de los datos son parametrizables en el catálogo.</t>
  </si>
  <si>
    <t>Datos Utilizados</t>
  </si>
  <si>
    <t xml:space="preserve">Los datos utilizados por los estudiantes son consistentes con un sistema real y está correctamente clasificados. Los datos pueden ser inventados pero no pueden ser datos basura. </t>
  </si>
  <si>
    <t>Los datos ingresados por los estudiantes no son relevantes y no se encuentran clasificados.</t>
  </si>
  <si>
    <t>Redacción y Ortografía</t>
  </si>
  <si>
    <t>Aspecto Visual</t>
  </si>
  <si>
    <t>Parametrización</t>
  </si>
  <si>
    <t>Integridad</t>
  </si>
  <si>
    <t>El sistema y la documentación no tienen faltas de ortografía.</t>
  </si>
  <si>
    <t>El sistema o documentación presenta 1 o 2 faltas de ortografía.</t>
  </si>
  <si>
    <t>El sistema o la documentación presentan más de 2 faltas de ortografía.</t>
  </si>
  <si>
    <t>La aplicación es sobresalientemente agradable a la vista y cumple un 100% con la usabilidad. Los campos tienen etiquetas que los identifican y formatos para saber cómo se debe ingresar la información o si un campo es requerido.</t>
  </si>
  <si>
    <t>La aplicación es agradable a la vista en un 80% de las pantallas y cumple con la usabilidad. No tiene todas las etiquetas y formatos.</t>
  </si>
  <si>
    <t>La aplicación es agradable a la vista en un 90% de las pantallas y cumple con la usabilidad. No tiene todas las etiquetas y formatos.</t>
  </si>
  <si>
    <t>La aplicación no es agradable a la vista y no cumple con la usabilidad en un 70% de las pantallas.</t>
  </si>
  <si>
    <t>La aplicación no es agradable a la vista y no cumple con la usabilidad en el 50% de sus pantallas.</t>
  </si>
  <si>
    <t>El sistema posee parametrización, pero requiere leves mejoras.</t>
  </si>
  <si>
    <t>El sistema no está parametrizado.</t>
  </si>
  <si>
    <t>No permite el ingreso de datos basura en la base de datos que puedan producir errores de integridad e inconsistencia.</t>
  </si>
  <si>
    <t>Entre un 99% y un 95% del sistema no permite ingresar datos basura.</t>
  </si>
  <si>
    <t>Entre un 94% y un 90% del sistema no permite ingresar datos basura.</t>
  </si>
  <si>
    <t>Entre un 89% y un 80% del sistema no permite ingresar datos basura.</t>
  </si>
  <si>
    <t>Menos del 80% del sistema no permite ingresar datos basura.</t>
  </si>
  <si>
    <t>Tipo</t>
  </si>
  <si>
    <t>Doc</t>
  </si>
  <si>
    <t>Tec</t>
  </si>
  <si>
    <t>Reg</t>
  </si>
  <si>
    <t>Querys</t>
  </si>
  <si>
    <t>Datos</t>
  </si>
  <si>
    <t>Peso</t>
  </si>
  <si>
    <t>Descripción</t>
  </si>
  <si>
    <t>Row Labels</t>
  </si>
  <si>
    <t>Grand Total</t>
  </si>
  <si>
    <t>Count of Tipo</t>
  </si>
  <si>
    <t>Sum of Peso</t>
  </si>
  <si>
    <t>Todo el sistema es parametrizable, no hay uso de parámetros establecidos en el código en duro. Todo es obtenido de una tabla y un administrador puede cambiar cambiar dichos parámetros a través del sistema.</t>
  </si>
  <si>
    <t>Estabilidad y Manejo de Excepciones</t>
  </si>
  <si>
    <t>No se presenta la información de los datos en su totalidad o poseen errores  graves como inconsistencias en los datos.</t>
  </si>
  <si>
    <t>Fue posible comprobar la estadística. La información mostrada en pantalla es correcta y carece de errores. Los filtros funcionan correctamente.</t>
  </si>
  <si>
    <t>La estadística funciona pero requiere de leves mejoras.</t>
  </si>
  <si>
    <t>La estadística funciona pero requiere de mejoras significativas.</t>
  </si>
  <si>
    <t xml:space="preserve">Fue posible comprobar las funcionalidades solicitadas para la correcta generación de la consulta y este funciona perfectamente. Los filtros funcionan correctamente. </t>
  </si>
  <si>
    <t>La consulta funciona pero requiere de leves mejoras.</t>
  </si>
  <si>
    <t>La consulta funciona pero requiere de mejoras significativas.</t>
  </si>
  <si>
    <t>La estadística  está desarrollada pero presenta  defectos importantes y requiere correcciones considerables. Por ejemplo, que a veces funcionen y otras veces no, problemas de inconsistencia de datos.</t>
  </si>
  <si>
    <t>La consulta  está desarrollada pero presenta  defectos importantes y requiere correcciones  considerables. Por ejemplo, que a veces funcionen y otras veces no, problemas de inconsistencia de datos. Los filtros no funcionan correctamente.</t>
  </si>
  <si>
    <t>Color Referencia</t>
  </si>
  <si>
    <t>Consultas: a) Vista de todas las noticias del periódico, ordenadas desde la más reciente a la más antigua.  Cada noticia incluye: autor, título, fecha de publicación y tipo de artículo.</t>
  </si>
  <si>
    <t>Consultas: b) Listado de todas las noticias por tipo de noticia.</t>
  </si>
  <si>
    <t>Consultas: c) Listado de noticias favoritas del usuario, ordenadas desde la más reciente a la más antigua.</t>
  </si>
  <si>
    <t>Consultas: d) Listado de productos. Por cada producto, se debe indicar su valor y disponibilidad.</t>
  </si>
  <si>
    <t>Consultas: e) Listado de puntos ganados, canjeados y pendientes por autor.</t>
  </si>
  <si>
    <t>Estadisticas: a)  Total de artículos publicados por universidad.</t>
  </si>
  <si>
    <t>Estadisticas: b)  Total de autores por universidad.</t>
  </si>
  <si>
    <t>Estadisticas:  c) Total de artículos publicados por autor, ordenado de forma descendente.</t>
  </si>
  <si>
    <t>Estadisticas:  d) Top n de autores que más publican artículos, con filtros por universidad, género o tipo de noticia. Se debe mostrar la cantidad de artículos publicados por autor.</t>
  </si>
  <si>
    <t>Estadisticas:  e) Promedio de la calificación del review por autor, ordenado de forma descendente.</t>
  </si>
  <si>
    <t>Estadisticas: f) Total de autores por rango de edad (de 0 a 18, de 19 a 30, de 31 a 45, de 46 a 60, de 61 a 75 y mayor de 75), con filtros de género, universidad y tipo de noticia.</t>
  </si>
  <si>
    <t>Estadisticas: g) Productos más canjeados, indicando la cantidad de canjes por producto.</t>
  </si>
  <si>
    <t>Integrantes: Grupo 1 - Jeffrey Leiva, Lucas Oviedo y Nicole Rodríguez</t>
  </si>
  <si>
    <t>Observaciones</t>
  </si>
  <si>
    <t>No cambia el texto de la noticia
No se logra registrar noticias de una persona recién registrada
No funcionan los favoritos</t>
  </si>
  <si>
    <t>No funciona</t>
  </si>
  <si>
    <t>No funciona, Reduce el promedio erroneamente.</t>
  </si>
  <si>
    <t>No está en en el sistema</t>
  </si>
  <si>
    <t>No se puede agregar un tipo de noticia</t>
  </si>
  <si>
    <t>La tabla pivote no considera todos los casos de prueba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</si>
</sst>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sz val="14"/>
      <color theme="1"/>
      <name val="Calibri"/>
      <family val="2"/>
      <scheme val="minor"/>
    </font>
  </fonts>
  <fills count="10">
    <fill>
      <patternFill patternType="none"/>
    </fill>
    <fill>
      <patternFill patternType="gray125"/>
    </fill>
    <fill>
      <patternFill patternType="solid">
        <fgColor rgb="FF158AFF"/>
        <bgColor indexed="64"/>
      </patternFill>
    </fill>
    <fill>
      <patternFill patternType="solid">
        <fgColor rgb="FF92D050"/>
        <bgColor indexed="64"/>
      </patternFill>
    </fill>
    <fill>
      <patternFill patternType="solid">
        <fgColor rgb="FFFFBB33"/>
        <bgColor indexed="64"/>
      </patternFill>
    </fill>
    <fill>
      <patternFill patternType="solid">
        <fgColor rgb="FFCC6600"/>
        <bgColor indexed="64"/>
      </patternFill>
    </fill>
    <fill>
      <patternFill patternType="solid">
        <fgColor rgb="FFDD0909"/>
        <bgColor indexed="64"/>
      </patternFill>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cellStyleXfs>
  <cellXfs count="24">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0" xfId="0" applyFont="1" applyFill="1" applyAlignment="1">
      <alignment horizontal="center"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0" borderId="0" xfId="0" applyFont="1" applyAlignment="1">
      <alignment vertical="center"/>
    </xf>
    <xf numFmtId="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wrapText="1"/>
    </xf>
    <xf numFmtId="9" fontId="0" fillId="0" borderId="0" xfId="0" applyNumberFormat="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1" fillId="0" borderId="0" xfId="0" applyFont="1"/>
    <xf numFmtId="10" fontId="1" fillId="0" borderId="0" xfId="0" applyNumberFormat="1" applyFont="1" applyAlignment="1">
      <alignment horizontal="center" vertical="center"/>
    </xf>
    <xf numFmtId="0" fontId="0" fillId="7" borderId="1" xfId="0" applyFill="1" applyBorder="1" applyAlignment="1">
      <alignment horizontal="center" vertical="center" wrapText="1"/>
    </xf>
    <xf numFmtId="0" fontId="0" fillId="8" borderId="1" xfId="0" applyFill="1" applyBorder="1" applyAlignment="1">
      <alignment horizontal="center" vertical="center" wrapText="1"/>
    </xf>
    <xf numFmtId="0" fontId="0" fillId="8" borderId="1" xfId="0" applyFill="1" applyBorder="1"/>
    <xf numFmtId="0" fontId="0" fillId="8" borderId="0" xfId="0" applyFill="1"/>
    <xf numFmtId="0" fontId="0" fillId="9" borderId="0" xfId="0" applyFill="1"/>
    <xf numFmtId="0" fontId="2" fillId="0" borderId="0" xfId="0" applyFont="1" applyAlignment="1">
      <alignment horizontal="center"/>
    </xf>
    <xf numFmtId="0" fontId="0" fillId="0" borderId="0" xfId="0" applyAlignment="1">
      <alignment wrapText="1"/>
    </xf>
    <xf numFmtId="0" fontId="0" fillId="8" borderId="2" xfId="0"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DD0909"/>
      <color rgb="FFCC6600"/>
      <color rgb="FFFFBB33"/>
      <color rgb="FF158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riana Álvarez" refreshedDate="44572.844309837965" createdVersion="7" refreshedVersion="7" minRefreshableVersion="3" recordCount="32" xr:uid="{4A00624F-953D-4473-BBDC-2F38BB553120}">
  <cacheSource type="worksheet">
    <worksheetSource ref="A1:C32" sheet="Rúbrica Proyecto 1 - Versión 3"/>
  </cacheSource>
  <cacheFields count="3">
    <cacheField name="Descripción" numFmtId="0">
      <sharedItems/>
    </cacheField>
    <cacheField name="Tipo" numFmtId="0">
      <sharedItems count="5">
        <s v="Doc"/>
        <s v="Tec"/>
        <s v="Reg"/>
        <s v="Querys"/>
        <s v="Datos"/>
      </sharedItems>
    </cacheField>
    <cacheField name="Peso" numFmtId="9">
      <sharedItems containsSemiMixedTypes="0" containsString="0" containsNumber="1" minValue="0.01" maxValue="0.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Respaldo de Scripts"/>
    <x v="0"/>
    <n v="0.01"/>
  </r>
  <r>
    <s v="Diccionario de Datos"/>
    <x v="0"/>
    <n v="0.03"/>
  </r>
  <r>
    <s v="Manual de Usuario"/>
    <x v="0"/>
    <n v="0.02"/>
  </r>
  <r>
    <s v="Casos de Prueba"/>
    <x v="0"/>
    <n v="0.03"/>
  </r>
  <r>
    <s v="Diseño Orientado a Capas"/>
    <x v="1"/>
    <n v="0.02"/>
  </r>
  <r>
    <s v="Clean Code"/>
    <x v="0"/>
    <n v="0.01"/>
  </r>
  <r>
    <s v="Seguridad - Inicio de Sesión"/>
    <x v="1"/>
    <n v="0.03"/>
  </r>
  <r>
    <s v="Campos de Auditoría"/>
    <x v="1"/>
    <n v="0.02"/>
  </r>
  <r>
    <s v="Estabilidad y Manejo de Excepciones"/>
    <x v="1"/>
    <n v="0.05"/>
  </r>
  <r>
    <s v="Registro de Datos"/>
    <x v="2"/>
    <n v="0.2"/>
  </r>
  <r>
    <s v="Consultas: a) Listado de relojes de un coleccionista."/>
    <x v="3"/>
    <n v="0.01"/>
  </r>
  <r>
    <s v="Consultas: b) Top “n” (valor parametrizable) de usuarios que más ventas han hecho con cantidad de ventas realizadas."/>
    <x v="3"/>
    <n v="0.01"/>
  </r>
  <r>
    <s v="Consultas:  c) Top “n” (valor parametrizable) de usuarios que más compras han hecho con cantidad de compras realizadas."/>
    <x v="3"/>
    <n v="0.01"/>
  </r>
  <r>
    <s v="Consultas: d) Listado de vendedores y compradores con mejores calificaciones."/>
    <x v="3"/>
    <n v="0.02"/>
  </r>
  <r>
    <s v="Consultas: e) Listado de vendedores y compradores con peores calificaciones."/>
    <x v="3"/>
    <n v="0.02"/>
  </r>
  <r>
    <s v="Consultas: f) Top n de relojes más costosos por categoría._x000a_"/>
    <x v="3"/>
    <n v="0.02"/>
  </r>
  <r>
    <s v="Consultas: g) Montos mínimos y máximos de relojes por categoría"/>
    <x v="3"/>
    <n v="0.04"/>
  </r>
  <r>
    <s v="Consultas Usuarios: a) Debe existir una pantalla para búsquedas de cualquier reloj. Seleccione al menos 5 filtros."/>
    <x v="3"/>
    <n v="0.03"/>
  </r>
  <r>
    <s v="Consultas usuarios: b) Historial de compras realizadas."/>
    <x v="3"/>
    <n v="0.03"/>
  </r>
  <r>
    <s v="Consultas usuarios: c) Listado de relojes vendidos para cada usuario."/>
    <x v="3"/>
    <n v="0.02"/>
  </r>
  <r>
    <s v="Consultas usuarios:d) Total de compras realizadas por el usuario por categoría mayores a 600 dólares o equivalente a la moneda del sistema."/>
    <x v="3"/>
    <n v="0.03"/>
  </r>
  <r>
    <s v="Estadisticas: a) según especificación del proyecto"/>
    <x v="3"/>
    <n v="0.03"/>
  </r>
  <r>
    <s v="Estadisticas: b)  según especificación del proyecto"/>
    <x v="3"/>
    <n v="0.02"/>
  </r>
  <r>
    <s v="Estadisticas:  c) según especificación del proyecto"/>
    <x v="3"/>
    <n v="0.02"/>
  </r>
  <r>
    <s v="Estadisticas:  d) según especificación del proyecto"/>
    <x v="3"/>
    <n v="0.04"/>
  </r>
  <r>
    <s v="Bitácora"/>
    <x v="1"/>
    <n v="0.03"/>
  </r>
  <r>
    <s v="Catálogos"/>
    <x v="2"/>
    <n v="0.05"/>
  </r>
  <r>
    <s v="Datos Utilizados"/>
    <x v="4"/>
    <n v="0.02"/>
  </r>
  <r>
    <s v="Redacción y Ortografía"/>
    <x v="0"/>
    <n v="0.02"/>
  </r>
  <r>
    <s v="Aspecto Visual"/>
    <x v="1"/>
    <n v="0.03"/>
  </r>
  <r>
    <s v="Parametrización"/>
    <x v="1"/>
    <n v="0.03"/>
  </r>
  <r>
    <s v="Integridad"/>
    <x v="1"/>
    <n v="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F68050-FE89-439C-A1F3-E36B056F387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35:P41" firstHeaderRow="0" firstDataRow="1" firstDataCol="1"/>
  <pivotFields count="3">
    <pivotField showAll="0"/>
    <pivotField axis="axisRow" dataField="1" showAll="0">
      <items count="6">
        <item x="4"/>
        <item x="0"/>
        <item x="3"/>
        <item x="2"/>
        <item x="1"/>
        <item t="default"/>
      </items>
    </pivotField>
    <pivotField dataField="1" numFmtId="9" showAll="0"/>
  </pivotFields>
  <rowFields count="1">
    <field x="1"/>
  </rowFields>
  <rowItems count="6">
    <i>
      <x/>
    </i>
    <i>
      <x v="1"/>
    </i>
    <i>
      <x v="2"/>
    </i>
    <i>
      <x v="3"/>
    </i>
    <i>
      <x v="4"/>
    </i>
    <i t="grand">
      <x/>
    </i>
  </rowItems>
  <colFields count="1">
    <field x="-2"/>
  </colFields>
  <colItems count="2">
    <i>
      <x/>
    </i>
    <i i="1">
      <x v="1"/>
    </i>
  </colItems>
  <dataFields count="2">
    <dataField name="Count of Tipo" fld="1" subtotal="count" baseField="0" baseItem="0"/>
    <dataField name="Sum of Peso" fld="2" showDataAs="percentOfTotal" baseField="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2663E-2DEC-45C2-8903-6E231ADD2AAD}">
  <sheetPr codeName="Hoja1"/>
  <dimension ref="A1:P68"/>
  <sheetViews>
    <sheetView tabSelected="1" topLeftCell="A12" zoomScale="89" zoomScaleNormal="89" workbookViewId="0">
      <selection activeCell="D33" sqref="D33"/>
    </sheetView>
  </sheetViews>
  <sheetFormatPr defaultColWidth="11.42578125" defaultRowHeight="15" x14ac:dyDescent="0.25"/>
  <cols>
    <col min="1" max="1" width="26.5703125" customWidth="1"/>
    <col min="2" max="2" width="15.5703125" hidden="1" customWidth="1"/>
    <col min="3" max="3" width="11.85546875" style="8" bestFit="1" customWidth="1"/>
    <col min="4" max="4" width="11.85546875" style="8" customWidth="1"/>
    <col min="5" max="5" width="39.140625" customWidth="1"/>
    <col min="6" max="7" width="43.28515625" customWidth="1"/>
    <col min="8" max="8" width="34" customWidth="1"/>
    <col min="9" max="9" width="28" customWidth="1"/>
    <col min="10" max="10" width="15.7109375" hidden="1" customWidth="1"/>
    <col min="11" max="11" width="54.7109375" customWidth="1"/>
    <col min="12" max="12" width="12.85546875" bestFit="1" customWidth="1"/>
    <col min="13" max="13" width="11.85546875" bestFit="1" customWidth="1"/>
    <col min="14" max="14" width="22.85546875" customWidth="1"/>
    <col min="15" max="15" width="15.7109375" hidden="1" customWidth="1"/>
    <col min="16" max="16" width="24.28515625" customWidth="1"/>
    <col min="17" max="17" width="4.7109375" bestFit="1" customWidth="1"/>
    <col min="18" max="18" width="11.28515625" bestFit="1" customWidth="1"/>
    <col min="19" max="19" width="11.85546875" bestFit="1" customWidth="1"/>
    <col min="20" max="20" width="12.85546875" bestFit="1" customWidth="1"/>
    <col min="21" max="21" width="11.85546875" bestFit="1" customWidth="1"/>
    <col min="22" max="22" width="12.85546875" bestFit="1" customWidth="1"/>
    <col min="23" max="23" width="11.85546875" bestFit="1" customWidth="1"/>
    <col min="24" max="24" width="18" bestFit="1" customWidth="1"/>
    <col min="25" max="25" width="16.85546875" bestFit="1" customWidth="1"/>
    <col min="26" max="28" width="12.85546875" bestFit="1" customWidth="1"/>
    <col min="29" max="29" width="19.85546875" bestFit="1" customWidth="1"/>
    <col min="30" max="30" width="18.85546875" bestFit="1" customWidth="1"/>
    <col min="31" max="32" width="12.85546875" bestFit="1" customWidth="1"/>
    <col min="33" max="33" width="16.7109375" bestFit="1" customWidth="1"/>
    <col min="34" max="34" width="15.7109375" bestFit="1" customWidth="1"/>
    <col min="35" max="42" width="12.85546875" bestFit="1" customWidth="1"/>
    <col min="43" max="43" width="16.42578125" bestFit="1" customWidth="1"/>
    <col min="44" max="44" width="15.42578125" bestFit="1" customWidth="1"/>
    <col min="45" max="45" width="18" bestFit="1" customWidth="1"/>
    <col min="46" max="47" width="16.85546875" bestFit="1" customWidth="1"/>
  </cols>
  <sheetData>
    <row r="1" spans="1:11" ht="33" customHeight="1" x14ac:dyDescent="0.25">
      <c r="A1" s="14" t="s">
        <v>92</v>
      </c>
      <c r="B1" s="14" t="s">
        <v>85</v>
      </c>
      <c r="C1" s="7" t="s">
        <v>91</v>
      </c>
      <c r="D1" s="7"/>
      <c r="E1" s="1" t="s">
        <v>0</v>
      </c>
      <c r="F1" s="3" t="s">
        <v>1</v>
      </c>
      <c r="G1" s="2" t="s">
        <v>4</v>
      </c>
      <c r="H1" s="4" t="s">
        <v>2</v>
      </c>
      <c r="I1" s="5" t="s">
        <v>3</v>
      </c>
    </row>
    <row r="2" spans="1:11" ht="33" customHeight="1" x14ac:dyDescent="0.25">
      <c r="A2" s="14"/>
      <c r="B2" s="14"/>
      <c r="C2" s="7"/>
      <c r="D2" s="7"/>
      <c r="E2" s="1">
        <v>4</v>
      </c>
      <c r="F2" s="3">
        <v>3</v>
      </c>
      <c r="G2" s="2">
        <v>2</v>
      </c>
      <c r="H2" s="4">
        <v>1</v>
      </c>
      <c r="I2" s="5">
        <v>0</v>
      </c>
      <c r="J2" t="s">
        <v>108</v>
      </c>
    </row>
    <row r="3" spans="1:11" ht="33" customHeight="1" x14ac:dyDescent="0.3">
      <c r="A3" s="21" t="s">
        <v>121</v>
      </c>
      <c r="B3" s="21"/>
      <c r="C3" s="21"/>
      <c r="D3" s="21"/>
      <c r="E3" s="21"/>
      <c r="F3" s="21"/>
      <c r="G3" s="21"/>
      <c r="H3" s="21"/>
      <c r="I3" s="21"/>
      <c r="J3" s="16"/>
      <c r="K3" t="s">
        <v>122</v>
      </c>
    </row>
    <row r="4" spans="1:11" ht="101.25" customHeight="1" x14ac:dyDescent="0.25">
      <c r="A4" s="6" t="s">
        <v>5</v>
      </c>
      <c r="B4" s="6" t="s">
        <v>86</v>
      </c>
      <c r="C4" s="7">
        <v>0.01</v>
      </c>
      <c r="D4" s="15" cm="1">
        <f t="array" aca="1" ref="D4" ca="1">INDIRECT(ADDRESS(2,CONTARCOLOR($J$3,E4:I4)))*C4/$E$2</f>
        <v>0.01</v>
      </c>
      <c r="E4" s="16" t="s">
        <v>6</v>
      </c>
      <c r="F4" s="17" t="s">
        <v>7</v>
      </c>
      <c r="G4" s="17" t="s">
        <v>8</v>
      </c>
      <c r="H4" s="17" t="s">
        <v>11</v>
      </c>
      <c r="I4" s="17" t="s">
        <v>9</v>
      </c>
    </row>
    <row r="5" spans="1:11" ht="105" customHeight="1" x14ac:dyDescent="0.25">
      <c r="A5" s="6" t="s">
        <v>10</v>
      </c>
      <c r="B5" s="6" t="s">
        <v>86</v>
      </c>
      <c r="C5" s="7">
        <v>0.03</v>
      </c>
      <c r="D5" s="15" cm="1">
        <f t="array" aca="1" ref="D5" ca="1">INDIRECT(ADDRESS(2,CONTARCOLOR($J$3,E5:I5)))*C5/$E$2</f>
        <v>0.03</v>
      </c>
      <c r="E5" s="16" t="s">
        <v>16</v>
      </c>
      <c r="F5" s="17" t="s">
        <v>15</v>
      </c>
      <c r="G5" s="17" t="s">
        <v>14</v>
      </c>
      <c r="H5" s="17" t="s">
        <v>13</v>
      </c>
      <c r="I5" s="17" t="s">
        <v>12</v>
      </c>
    </row>
    <row r="6" spans="1:11" ht="128.25" customHeight="1" x14ac:dyDescent="0.25">
      <c r="A6" s="6" t="s">
        <v>17</v>
      </c>
      <c r="B6" s="6" t="s">
        <v>86</v>
      </c>
      <c r="C6" s="7">
        <v>0.02</v>
      </c>
      <c r="D6" s="15" cm="1">
        <f t="array" aca="1" ref="D6" ca="1">INDIRECT(ADDRESS(2,CONTARCOLOR($J$3,E6:I6)))*C6/$E$2</f>
        <v>0.02</v>
      </c>
      <c r="E6" s="16" t="s">
        <v>18</v>
      </c>
      <c r="F6" s="17" t="s">
        <v>19</v>
      </c>
      <c r="G6" s="17" t="s">
        <v>20</v>
      </c>
      <c r="H6" s="17" t="s">
        <v>21</v>
      </c>
      <c r="I6" s="17" t="s">
        <v>12</v>
      </c>
    </row>
    <row r="7" spans="1:11" ht="165" x14ac:dyDescent="0.25">
      <c r="A7" s="6" t="s">
        <v>22</v>
      </c>
      <c r="B7" s="6" t="s">
        <v>86</v>
      </c>
      <c r="C7" s="7">
        <v>0.03</v>
      </c>
      <c r="D7" s="15" cm="1">
        <f t="array" aca="1" ref="D7" ca="1">INDIRECT(ADDRESS(2,CONTARCOLOR($J$3,E7:I7)))*C7/$E$2</f>
        <v>2.2499999999999999E-2</v>
      </c>
      <c r="E7" s="17" t="s">
        <v>23</v>
      </c>
      <c r="F7" s="16" t="s">
        <v>24</v>
      </c>
      <c r="G7" s="17"/>
      <c r="H7" s="17" t="s">
        <v>25</v>
      </c>
      <c r="I7" s="17" t="s">
        <v>26</v>
      </c>
      <c r="K7" s="23" t="s">
        <v>128</v>
      </c>
    </row>
    <row r="8" spans="1:11" ht="124.5" customHeight="1" x14ac:dyDescent="0.25">
      <c r="A8" s="9" t="s">
        <v>27</v>
      </c>
      <c r="B8" s="6" t="s">
        <v>87</v>
      </c>
      <c r="C8" s="7">
        <v>0.02</v>
      </c>
      <c r="D8" s="15" cm="1">
        <f t="array" aca="1" ref="D8" ca="1">INDIRECT(ADDRESS(2,CONTARCOLOR($J$3,E8:I8)))*C8/$E$2</f>
        <v>0.02</v>
      </c>
      <c r="E8" s="16" t="s">
        <v>28</v>
      </c>
      <c r="F8" s="17" t="s">
        <v>29</v>
      </c>
      <c r="G8" s="17"/>
      <c r="H8" s="17"/>
      <c r="I8" s="17" t="s">
        <v>30</v>
      </c>
    </row>
    <row r="9" spans="1:11" ht="124.5" customHeight="1" x14ac:dyDescent="0.25">
      <c r="A9" s="9" t="s">
        <v>31</v>
      </c>
      <c r="B9" s="6" t="s">
        <v>86</v>
      </c>
      <c r="C9" s="7">
        <v>0.01</v>
      </c>
      <c r="D9" s="15" cm="1">
        <f t="array" aca="1" ref="D9" ca="1">INDIRECT(ADDRESS(2,CONTARCOLOR($J$3,E9:I9)))*C9/$E$2</f>
        <v>0.01</v>
      </c>
      <c r="E9" s="16" t="s">
        <v>32</v>
      </c>
      <c r="F9" s="17" t="s">
        <v>33</v>
      </c>
      <c r="G9" s="17"/>
      <c r="H9" s="17"/>
      <c r="I9" s="17" t="s">
        <v>34</v>
      </c>
    </row>
    <row r="10" spans="1:11" ht="165" x14ac:dyDescent="0.25">
      <c r="A10" s="9" t="s">
        <v>35</v>
      </c>
      <c r="B10" s="6" t="s">
        <v>87</v>
      </c>
      <c r="C10" s="7">
        <v>0.03</v>
      </c>
      <c r="D10" s="15" cm="1">
        <f t="array" aca="1" ref="D10" ca="1">INDIRECT(ADDRESS(2,CONTARCOLOR($J$3,E10:I10)))*C10/$E$2</f>
        <v>0.03</v>
      </c>
      <c r="E10" s="16" t="s">
        <v>36</v>
      </c>
      <c r="F10" s="17" t="s">
        <v>37</v>
      </c>
      <c r="G10" s="17"/>
      <c r="H10" s="17" t="s">
        <v>39</v>
      </c>
      <c r="I10" s="17" t="s">
        <v>38</v>
      </c>
    </row>
    <row r="11" spans="1:11" ht="124.5" customHeight="1" x14ac:dyDescent="0.25">
      <c r="A11" s="9" t="s">
        <v>40</v>
      </c>
      <c r="B11" s="6" t="s">
        <v>87</v>
      </c>
      <c r="C11" s="7">
        <v>0.02</v>
      </c>
      <c r="D11" s="15" cm="1">
        <f t="array" aca="1" ref="D11" ca="1">INDIRECT(ADDRESS(2,CONTARCOLOR($J$3,E11:I11)))*C11/$E$2</f>
        <v>0.02</v>
      </c>
      <c r="E11" s="16" t="s">
        <v>41</v>
      </c>
      <c r="F11" s="17" t="s">
        <v>42</v>
      </c>
      <c r="G11" s="17" t="s">
        <v>43</v>
      </c>
      <c r="H11" s="17" t="s">
        <v>44</v>
      </c>
      <c r="I11" s="17" t="s">
        <v>45</v>
      </c>
    </row>
    <row r="12" spans="1:11" ht="124.5" customHeight="1" x14ac:dyDescent="0.25">
      <c r="A12" s="9" t="s">
        <v>98</v>
      </c>
      <c r="B12" s="6" t="s">
        <v>87</v>
      </c>
      <c r="C12" s="7">
        <v>0.05</v>
      </c>
      <c r="D12" s="15" cm="1">
        <f t="array" aca="1" ref="D12" ca="1">INDIRECT(ADDRESS(2,CONTARCOLOR($J$3,E12:I12)))*C12/$E$2</f>
        <v>0.05</v>
      </c>
      <c r="E12" s="16" t="s">
        <v>46</v>
      </c>
      <c r="F12" s="17" t="s">
        <v>47</v>
      </c>
      <c r="G12" s="18"/>
      <c r="H12" s="18"/>
      <c r="I12" s="17" t="s">
        <v>48</v>
      </c>
    </row>
    <row r="13" spans="1:11" ht="135" x14ac:dyDescent="0.25">
      <c r="A13" s="9" t="s">
        <v>49</v>
      </c>
      <c r="B13" s="6" t="s">
        <v>88</v>
      </c>
      <c r="C13" s="7">
        <v>0.2</v>
      </c>
      <c r="D13" s="15" cm="1">
        <f t="array" aca="1" ref="D13" ca="1">INDIRECT(ADDRESS(2,CONTARCOLOR($J$3,E13:I13)))*C13/$E$2</f>
        <v>0.15000000000000002</v>
      </c>
      <c r="E13" s="17" t="s">
        <v>50</v>
      </c>
      <c r="F13" s="16" t="s">
        <v>51</v>
      </c>
      <c r="G13" s="17"/>
      <c r="H13" s="17"/>
      <c r="I13" s="17" t="s">
        <v>52</v>
      </c>
      <c r="K13" s="22" t="s">
        <v>123</v>
      </c>
    </row>
    <row r="14" spans="1:11" ht="124.5" customHeight="1" x14ac:dyDescent="0.25">
      <c r="A14" s="9" t="s">
        <v>109</v>
      </c>
      <c r="B14" s="6" t="s">
        <v>89</v>
      </c>
      <c r="C14" s="7">
        <v>0.03</v>
      </c>
      <c r="D14" s="15" cm="1">
        <f t="array" aca="1" ref="D14" ca="1">INDIRECT(ADDRESS(2,CONTARCOLOR($J$3,E14:I14)))*C14/$E$2</f>
        <v>0.03</v>
      </c>
      <c r="E14" s="16" t="s">
        <v>103</v>
      </c>
      <c r="F14" s="17" t="s">
        <v>104</v>
      </c>
      <c r="G14" s="17" t="s">
        <v>105</v>
      </c>
      <c r="H14" s="17" t="s">
        <v>107</v>
      </c>
      <c r="I14" s="17" t="s">
        <v>99</v>
      </c>
    </row>
    <row r="15" spans="1:11" ht="124.5" customHeight="1" x14ac:dyDescent="0.25">
      <c r="A15" s="9" t="s">
        <v>110</v>
      </c>
      <c r="B15" s="6" t="s">
        <v>89</v>
      </c>
      <c r="C15" s="7">
        <v>0.02</v>
      </c>
      <c r="D15" s="15" cm="1">
        <f t="array" aca="1" ref="D15" ca="1">INDIRECT(ADDRESS(2,CONTARCOLOR($J$3,E15:I15)))*C15/$E$2</f>
        <v>0.02</v>
      </c>
      <c r="E15" s="16" t="s">
        <v>103</v>
      </c>
      <c r="F15" s="17" t="s">
        <v>104</v>
      </c>
      <c r="G15" s="17" t="s">
        <v>105</v>
      </c>
      <c r="H15" s="17" t="s">
        <v>107</v>
      </c>
      <c r="I15" s="17" t="s">
        <v>99</v>
      </c>
    </row>
    <row r="16" spans="1:11" ht="124.5" customHeight="1" x14ac:dyDescent="0.25">
      <c r="A16" s="9" t="s">
        <v>111</v>
      </c>
      <c r="B16" s="6" t="s">
        <v>89</v>
      </c>
      <c r="C16" s="7">
        <v>0.03</v>
      </c>
      <c r="D16" s="15" cm="1">
        <f t="array" aca="1" ref="D16" ca="1">INDIRECT(ADDRESS(2,CONTARCOLOR($J$3,E16:I16)))*C16/$E$2</f>
        <v>0</v>
      </c>
      <c r="E16" s="17" t="s">
        <v>103</v>
      </c>
      <c r="F16" s="17" t="s">
        <v>104</v>
      </c>
      <c r="G16" s="17" t="s">
        <v>105</v>
      </c>
      <c r="H16" s="17" t="s">
        <v>107</v>
      </c>
      <c r="I16" s="16" t="s">
        <v>99</v>
      </c>
      <c r="K16" s="23" t="s">
        <v>124</v>
      </c>
    </row>
    <row r="17" spans="1:11" ht="124.5" customHeight="1" x14ac:dyDescent="0.25">
      <c r="A17" s="9" t="s">
        <v>112</v>
      </c>
      <c r="B17" s="6" t="s">
        <v>89</v>
      </c>
      <c r="C17" s="7">
        <v>0.03</v>
      </c>
      <c r="D17" s="15" cm="1">
        <f t="array" aca="1" ref="D17" ca="1">INDIRECT(ADDRESS(2,CONTARCOLOR($J$3,E17:I17)))*C17/$E$2</f>
        <v>0.03</v>
      </c>
      <c r="E17" s="16" t="s">
        <v>103</v>
      </c>
      <c r="F17" s="17" t="s">
        <v>104</v>
      </c>
      <c r="G17" s="17" t="s">
        <v>105</v>
      </c>
      <c r="H17" s="17" t="s">
        <v>107</v>
      </c>
      <c r="I17" s="17" t="s">
        <v>99</v>
      </c>
    </row>
    <row r="18" spans="1:11" ht="124.5" customHeight="1" x14ac:dyDescent="0.25">
      <c r="A18" s="9" t="s">
        <v>113</v>
      </c>
      <c r="B18" s="6" t="s">
        <v>89</v>
      </c>
      <c r="C18" s="7">
        <v>0.03</v>
      </c>
      <c r="D18" s="15" cm="1">
        <f t="array" aca="1" ref="D18" ca="1">INDIRECT(ADDRESS(2,CONTARCOLOR($J$3,E18:I18)))*C18/$E$2</f>
        <v>0.03</v>
      </c>
      <c r="E18" s="16" t="s">
        <v>103</v>
      </c>
      <c r="F18" s="17" t="s">
        <v>104</v>
      </c>
      <c r="G18" s="17" t="s">
        <v>105</v>
      </c>
      <c r="H18" s="17" t="s">
        <v>107</v>
      </c>
      <c r="I18" s="17" t="s">
        <v>99</v>
      </c>
    </row>
    <row r="19" spans="1:11" ht="124.5" customHeight="1" x14ac:dyDescent="0.25">
      <c r="A19" s="9" t="s">
        <v>114</v>
      </c>
      <c r="B19" s="6" t="s">
        <v>89</v>
      </c>
      <c r="C19" s="7">
        <v>0.02</v>
      </c>
      <c r="D19" s="15" cm="1">
        <f t="array" aca="1" ref="D19" ca="1">INDIRECT(ADDRESS(2,CONTARCOLOR($J$3,E19:I19)))*C19/$E$2</f>
        <v>0.02</v>
      </c>
      <c r="E19" s="16" t="s">
        <v>100</v>
      </c>
      <c r="F19" s="17" t="s">
        <v>101</v>
      </c>
      <c r="G19" s="17" t="s">
        <v>102</v>
      </c>
      <c r="H19" s="17" t="s">
        <v>106</v>
      </c>
      <c r="I19" s="17" t="s">
        <v>99</v>
      </c>
    </row>
    <row r="20" spans="1:11" ht="124.5" customHeight="1" x14ac:dyDescent="0.25">
      <c r="A20" s="9" t="s">
        <v>115</v>
      </c>
      <c r="B20" s="6" t="s">
        <v>89</v>
      </c>
      <c r="C20" s="7">
        <v>0.02</v>
      </c>
      <c r="D20" s="15" cm="1">
        <f t="array" aca="1" ref="D20" ca="1">INDIRECT(ADDRESS(2,CONTARCOLOR($J$3,E20:I20)))*C20/$E$2</f>
        <v>0.02</v>
      </c>
      <c r="E20" s="16" t="s">
        <v>100</v>
      </c>
      <c r="F20" s="17" t="s">
        <v>101</v>
      </c>
      <c r="G20" s="17" t="s">
        <v>102</v>
      </c>
      <c r="H20" s="17" t="s">
        <v>106</v>
      </c>
      <c r="I20" s="17" t="s">
        <v>99</v>
      </c>
    </row>
    <row r="21" spans="1:11" ht="124.5" customHeight="1" x14ac:dyDescent="0.25">
      <c r="A21" s="9" t="s">
        <v>116</v>
      </c>
      <c r="B21" s="6" t="s">
        <v>89</v>
      </c>
      <c r="C21" s="7">
        <v>0.03</v>
      </c>
      <c r="D21" s="15" cm="1">
        <f t="array" aca="1" ref="D21" ca="1">INDIRECT(ADDRESS(2,CONTARCOLOR($J$3,E21:I21)))*C21/$E$2</f>
        <v>0.03</v>
      </c>
      <c r="E21" s="16" t="s">
        <v>100</v>
      </c>
      <c r="F21" s="17" t="s">
        <v>101</v>
      </c>
      <c r="G21" s="17" t="s">
        <v>102</v>
      </c>
      <c r="H21" s="17" t="s">
        <v>106</v>
      </c>
      <c r="I21" s="17" t="s">
        <v>99</v>
      </c>
    </row>
    <row r="22" spans="1:11" ht="124.5" customHeight="1" x14ac:dyDescent="0.25">
      <c r="A22" s="9" t="s">
        <v>117</v>
      </c>
      <c r="B22" s="6" t="s">
        <v>89</v>
      </c>
      <c r="C22" s="7">
        <v>0.04</v>
      </c>
      <c r="D22" s="15" cm="1">
        <f t="array" aca="1" ref="D22" ca="1">INDIRECT(ADDRESS(2,CONTARCOLOR($J$3,E22:I22)))*C22/$E$2</f>
        <v>0.04</v>
      </c>
      <c r="E22" s="16" t="s">
        <v>100</v>
      </c>
      <c r="F22" s="17" t="s">
        <v>101</v>
      </c>
      <c r="G22" s="17" t="s">
        <v>102</v>
      </c>
      <c r="H22" s="17" t="s">
        <v>106</v>
      </c>
      <c r="I22" s="17" t="s">
        <v>99</v>
      </c>
    </row>
    <row r="23" spans="1:11" ht="124.5" customHeight="1" x14ac:dyDescent="0.25">
      <c r="A23" s="9" t="s">
        <v>118</v>
      </c>
      <c r="B23" s="6" t="s">
        <v>89</v>
      </c>
      <c r="C23" s="7">
        <v>0.04</v>
      </c>
      <c r="D23" s="15" cm="1">
        <f t="array" aca="1" ref="D23" ca="1">INDIRECT(ADDRESS(2,CONTARCOLOR($J$3,E23:I23)))*C23/$E$2</f>
        <v>0</v>
      </c>
      <c r="E23" s="17" t="s">
        <v>100</v>
      </c>
      <c r="F23" s="17" t="s">
        <v>101</v>
      </c>
      <c r="G23" s="17" t="s">
        <v>102</v>
      </c>
      <c r="H23" s="17" t="s">
        <v>106</v>
      </c>
      <c r="I23" s="16" t="s">
        <v>99</v>
      </c>
      <c r="K23" s="23" t="s">
        <v>125</v>
      </c>
    </row>
    <row r="24" spans="1:11" ht="124.5" customHeight="1" x14ac:dyDescent="0.25">
      <c r="A24" s="9" t="s">
        <v>119</v>
      </c>
      <c r="B24" s="6" t="s">
        <v>89</v>
      </c>
      <c r="C24" s="7">
        <v>0.04</v>
      </c>
      <c r="D24" s="15" cm="1">
        <f t="array" aca="1" ref="D24" ca="1">INDIRECT(ADDRESS(2,CONTARCOLOR($J$3,E24:I24)))*C24/$E$2</f>
        <v>0.04</v>
      </c>
      <c r="E24" s="16" t="s">
        <v>100</v>
      </c>
      <c r="F24" s="17" t="s">
        <v>101</v>
      </c>
      <c r="G24" s="17" t="s">
        <v>102</v>
      </c>
      <c r="H24" s="17" t="s">
        <v>106</v>
      </c>
      <c r="I24" s="17" t="s">
        <v>99</v>
      </c>
    </row>
    <row r="25" spans="1:11" ht="124.5" customHeight="1" x14ac:dyDescent="0.25">
      <c r="A25" s="9" t="s">
        <v>120</v>
      </c>
      <c r="B25" s="6" t="s">
        <v>89</v>
      </c>
      <c r="C25" s="7">
        <v>0.03</v>
      </c>
      <c r="D25" s="15" cm="1">
        <f t="array" aca="1" ref="D25" ca="1">INDIRECT(ADDRESS(2,CONTARCOLOR($J$3,E25:I25)))*C25/$E$2</f>
        <v>0.03</v>
      </c>
      <c r="E25" s="16" t="s">
        <v>100</v>
      </c>
      <c r="F25" s="17" t="s">
        <v>101</v>
      </c>
      <c r="G25" s="17" t="s">
        <v>102</v>
      </c>
      <c r="H25" s="17" t="s">
        <v>106</v>
      </c>
      <c r="I25" s="17" t="s">
        <v>99</v>
      </c>
    </row>
    <row r="26" spans="1:11" ht="124.5" customHeight="1" x14ac:dyDescent="0.25">
      <c r="A26" s="9" t="s">
        <v>53</v>
      </c>
      <c r="B26" s="6" t="s">
        <v>87</v>
      </c>
      <c r="C26" s="7">
        <v>0.03</v>
      </c>
      <c r="D26" s="15" cm="1">
        <f t="array" aca="1" ref="D26" ca="1">INDIRECT(ADDRESS(2,CONTARCOLOR($J$3,E26:I26)))*C26/$E$2</f>
        <v>0</v>
      </c>
      <c r="E26" s="17" t="s">
        <v>54</v>
      </c>
      <c r="F26" s="17" t="s">
        <v>55</v>
      </c>
      <c r="G26" s="17"/>
      <c r="H26" s="17"/>
      <c r="I26" s="16" t="s">
        <v>56</v>
      </c>
      <c r="K26" t="s">
        <v>126</v>
      </c>
    </row>
    <row r="27" spans="1:11" ht="124.5" customHeight="1" x14ac:dyDescent="0.25">
      <c r="A27" s="9" t="s">
        <v>57</v>
      </c>
      <c r="B27" s="6" t="s">
        <v>88</v>
      </c>
      <c r="C27" s="7">
        <v>0.05</v>
      </c>
      <c r="D27" s="15" cm="1">
        <f t="array" aca="1" ref="D27" ca="1">INDIRECT(ADDRESS(2,CONTARCOLOR($J$3,E27:I27)))*C27/$E$2</f>
        <v>3.7500000000000006E-2</v>
      </c>
      <c r="E27" s="17" t="s">
        <v>58</v>
      </c>
      <c r="F27" s="16" t="s">
        <v>59</v>
      </c>
      <c r="G27" s="17" t="s">
        <v>61</v>
      </c>
      <c r="H27" s="17" t="s">
        <v>62</v>
      </c>
      <c r="I27" s="17" t="s">
        <v>60</v>
      </c>
      <c r="K27" s="23" t="s">
        <v>127</v>
      </c>
    </row>
    <row r="28" spans="1:11" ht="124.5" customHeight="1" x14ac:dyDescent="0.25">
      <c r="A28" s="9" t="s">
        <v>63</v>
      </c>
      <c r="B28" s="6" t="s">
        <v>90</v>
      </c>
      <c r="C28" s="7">
        <v>0.02</v>
      </c>
      <c r="D28" s="15" cm="1">
        <f t="array" aca="1" ref="D28" ca="1">INDIRECT(ADDRESS(2,CONTARCOLOR($J$3,E28:I28)))*C28/$E$2</f>
        <v>0.02</v>
      </c>
      <c r="E28" s="16" t="s">
        <v>64</v>
      </c>
      <c r="F28" s="17"/>
      <c r="G28" s="17"/>
      <c r="H28" s="17"/>
      <c r="I28" s="17" t="s">
        <v>65</v>
      </c>
    </row>
    <row r="29" spans="1:11" ht="124.5" customHeight="1" x14ac:dyDescent="0.25">
      <c r="A29" s="9" t="s">
        <v>66</v>
      </c>
      <c r="B29" s="6" t="s">
        <v>86</v>
      </c>
      <c r="C29" s="7">
        <v>0.02</v>
      </c>
      <c r="D29" s="15" cm="1">
        <f t="array" aca="1" ref="D29" ca="1">INDIRECT(ADDRESS(2,CONTARCOLOR($J$3,E29:I29)))*C29/$E$2</f>
        <v>0.02</v>
      </c>
      <c r="E29" s="16" t="s">
        <v>70</v>
      </c>
      <c r="F29" s="17"/>
      <c r="G29" s="17" t="s">
        <v>71</v>
      </c>
      <c r="H29" s="17"/>
      <c r="I29" s="17" t="s">
        <v>72</v>
      </c>
    </row>
    <row r="30" spans="1:11" ht="124.5" customHeight="1" x14ac:dyDescent="0.25">
      <c r="A30" s="9" t="s">
        <v>67</v>
      </c>
      <c r="B30" s="6" t="s">
        <v>87</v>
      </c>
      <c r="C30" s="7">
        <v>0.03</v>
      </c>
      <c r="D30" s="15" cm="1">
        <f t="array" aca="1" ref="D30" ca="1">INDIRECT(ADDRESS(2,CONTARCOLOR($J$3,E30:I30)))*C30/$E$2</f>
        <v>0.03</v>
      </c>
      <c r="E30" s="16" t="s">
        <v>73</v>
      </c>
      <c r="F30" s="17" t="s">
        <v>75</v>
      </c>
      <c r="G30" s="17" t="s">
        <v>74</v>
      </c>
      <c r="H30" s="17" t="s">
        <v>76</v>
      </c>
      <c r="I30" s="17" t="s">
        <v>77</v>
      </c>
    </row>
    <row r="31" spans="1:11" ht="90" x14ac:dyDescent="0.25">
      <c r="A31" s="9" t="s">
        <v>68</v>
      </c>
      <c r="B31" s="6" t="s">
        <v>87</v>
      </c>
      <c r="C31" s="7">
        <v>0.02</v>
      </c>
      <c r="D31" s="15" cm="1">
        <f t="array" aca="1" ref="D31" ca="1">INDIRECT(ADDRESS(2,CONTARCOLOR($J$3,E31:I31)))*C31/$E$2</f>
        <v>0.02</v>
      </c>
      <c r="E31" s="16" t="s">
        <v>97</v>
      </c>
      <c r="F31" s="17" t="s">
        <v>78</v>
      </c>
      <c r="G31" s="17"/>
      <c r="H31" s="17"/>
      <c r="I31" s="17" t="s">
        <v>79</v>
      </c>
    </row>
    <row r="32" spans="1:11" ht="45" x14ac:dyDescent="0.25">
      <c r="A32" s="9" t="s">
        <v>69</v>
      </c>
      <c r="B32" s="6" t="s">
        <v>87</v>
      </c>
      <c r="C32" s="7">
        <v>0.05</v>
      </c>
      <c r="D32" s="15" cm="1">
        <f t="array" aca="1" ref="D32" ca="1">INDIRECT(ADDRESS(2,CONTARCOLOR($J$3,E32:I32)))*C32/$E$2</f>
        <v>0.05</v>
      </c>
      <c r="E32" s="16" t="s">
        <v>80</v>
      </c>
      <c r="F32" s="17" t="s">
        <v>81</v>
      </c>
      <c r="G32" s="17" t="s">
        <v>82</v>
      </c>
      <c r="H32" s="17" t="s">
        <v>83</v>
      </c>
      <c r="I32" s="17" t="s">
        <v>84</v>
      </c>
    </row>
    <row r="33" spans="3:16" x14ac:dyDescent="0.25">
      <c r="C33" s="10">
        <f>SUM(C4:C32)</f>
        <v>1.0000000000000004</v>
      </c>
      <c r="D33" s="10">
        <f ca="1">SUM(D4:D32)</f>
        <v>0.83000000000000029</v>
      </c>
      <c r="E33" s="19"/>
      <c r="F33" s="19"/>
      <c r="H33" s="20"/>
      <c r="I33" s="19"/>
    </row>
    <row r="35" spans="3:16" x14ac:dyDescent="0.25">
      <c r="N35" s="11" t="s">
        <v>93</v>
      </c>
      <c r="O35" t="s">
        <v>95</v>
      </c>
      <c r="P35" t="s">
        <v>96</v>
      </c>
    </row>
    <row r="36" spans="3:16" x14ac:dyDescent="0.25">
      <c r="N36" s="12" t="s">
        <v>90</v>
      </c>
      <c r="O36">
        <v>1</v>
      </c>
      <c r="P36" s="13">
        <v>1.9999999999999997E-2</v>
      </c>
    </row>
    <row r="37" spans="3:16" x14ac:dyDescent="0.25">
      <c r="D37"/>
      <c r="N37" s="12" t="s">
        <v>86</v>
      </c>
      <c r="O37">
        <v>6</v>
      </c>
      <c r="P37" s="13">
        <v>0.11999999999999997</v>
      </c>
    </row>
    <row r="38" spans="3:16" x14ac:dyDescent="0.25">
      <c r="D38" s="13"/>
      <c r="N38" s="12" t="s">
        <v>89</v>
      </c>
      <c r="O38">
        <v>15</v>
      </c>
      <c r="P38" s="13">
        <v>0.35</v>
      </c>
    </row>
    <row r="39" spans="3:16" x14ac:dyDescent="0.25">
      <c r="D39" s="13"/>
      <c r="N39" s="12" t="s">
        <v>88</v>
      </c>
      <c r="O39">
        <v>2</v>
      </c>
      <c r="P39" s="13">
        <v>0.24999999999999994</v>
      </c>
    </row>
    <row r="40" spans="3:16" x14ac:dyDescent="0.25">
      <c r="D40" s="13"/>
      <c r="N40" s="12" t="s">
        <v>87</v>
      </c>
      <c r="O40">
        <v>8</v>
      </c>
      <c r="P40" s="13">
        <v>0.25999999999999995</v>
      </c>
    </row>
    <row r="41" spans="3:16" x14ac:dyDescent="0.25">
      <c r="D41" s="13"/>
      <c r="N41" s="12" t="s">
        <v>94</v>
      </c>
      <c r="O41">
        <v>32</v>
      </c>
      <c r="P41" s="13">
        <v>1</v>
      </c>
    </row>
    <row r="42" spans="3:16" x14ac:dyDescent="0.25">
      <c r="D42"/>
    </row>
    <row r="43" spans="3:16" x14ac:dyDescent="0.25">
      <c r="D43"/>
    </row>
    <row r="44" spans="3:16" x14ac:dyDescent="0.25">
      <c r="D44"/>
    </row>
    <row r="45" spans="3:16" x14ac:dyDescent="0.25">
      <c r="D45"/>
    </row>
    <row r="46" spans="3:16" x14ac:dyDescent="0.25">
      <c r="D46"/>
    </row>
    <row r="47" spans="3:16" x14ac:dyDescent="0.25">
      <c r="D47"/>
    </row>
    <row r="48" spans="3:16" x14ac:dyDescent="0.25">
      <c r="D48"/>
    </row>
    <row r="49" spans="4:4" x14ac:dyDescent="0.25">
      <c r="D49"/>
    </row>
    <row r="50" spans="4:4" x14ac:dyDescent="0.25">
      <c r="D50"/>
    </row>
    <row r="51" spans="4:4" x14ac:dyDescent="0.25">
      <c r="D51"/>
    </row>
    <row r="52" spans="4:4" x14ac:dyDescent="0.25">
      <c r="D52"/>
    </row>
    <row r="53" spans="4:4" x14ac:dyDescent="0.25">
      <c r="D53"/>
    </row>
    <row r="54" spans="4:4" x14ac:dyDescent="0.25">
      <c r="D54"/>
    </row>
    <row r="55" spans="4:4" x14ac:dyDescent="0.25">
      <c r="D55"/>
    </row>
    <row r="56" spans="4:4" x14ac:dyDescent="0.25">
      <c r="D56"/>
    </row>
    <row r="57" spans="4:4" x14ac:dyDescent="0.25">
      <c r="D57"/>
    </row>
    <row r="58" spans="4:4" x14ac:dyDescent="0.25">
      <c r="D58"/>
    </row>
    <row r="59" spans="4:4" x14ac:dyDescent="0.25">
      <c r="D59"/>
    </row>
    <row r="60" spans="4:4" x14ac:dyDescent="0.25">
      <c r="D60"/>
    </row>
    <row r="61" spans="4:4" x14ac:dyDescent="0.25">
      <c r="D61"/>
    </row>
    <row r="62" spans="4:4" x14ac:dyDescent="0.25">
      <c r="D62"/>
    </row>
    <row r="63" spans="4:4" x14ac:dyDescent="0.25">
      <c r="D63"/>
    </row>
    <row r="64" spans="4:4" x14ac:dyDescent="0.25">
      <c r="D64"/>
    </row>
    <row r="65" spans="4:4" x14ac:dyDescent="0.25">
      <c r="D65"/>
    </row>
    <row r="66" spans="4:4" x14ac:dyDescent="0.25">
      <c r="D66"/>
    </row>
    <row r="67" spans="4:4" x14ac:dyDescent="0.25">
      <c r="D67"/>
    </row>
    <row r="68" spans="4:4" x14ac:dyDescent="0.25">
      <c r="D68"/>
    </row>
  </sheetData>
  <mergeCells count="1">
    <mergeCell ref="A3:I3"/>
  </mergeCell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Rúbrica Proyecto 1 - Versión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Adriana Álvarez</cp:lastModifiedBy>
  <cp:lastPrinted>2022-01-12T02:18:21Z</cp:lastPrinted>
  <dcterms:created xsi:type="dcterms:W3CDTF">2021-08-04T01:06:42Z</dcterms:created>
  <dcterms:modified xsi:type="dcterms:W3CDTF">2022-10-24T16:49:23Z</dcterms:modified>
</cp:coreProperties>
</file>