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co\Desktop\CURSOS-TEC\SEM-4-2022\Bases de datos I (Asistencia)\Proyecto\Revsiones Modelo Logico\"/>
    </mc:Choice>
  </mc:AlternateContent>
  <xr:revisionPtr revIDLastSave="0" documentId="13_ncr:1_{13EEBEEC-DB07-4109-A2F0-13208B37328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odelo E-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1" l="1"/>
  <c r="C5" i="1" a="1"/>
  <c r="C11" i="1" a="1"/>
  <c r="C11" i="1" l="1"/>
  <c r="C5" i="1"/>
  <c r="C7" i="1" a="1"/>
  <c r="C8" i="1" a="1"/>
  <c r="C6" i="1" a="1"/>
  <c r="C10" i="1" a="1"/>
  <c r="C9" i="1" a="1"/>
  <c r="C9" i="1" l="1"/>
  <c r="C8" i="1"/>
  <c r="C7" i="1"/>
  <c r="C10" i="1"/>
  <c r="C6" i="1"/>
  <c r="C1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<sst xmlns="http://schemas.openxmlformats.org/spreadsheetml/2006/main" count="58" uniqueCount="58">
  <si>
    <t>Rubro</t>
  </si>
  <si>
    <t>Descripción</t>
  </si>
  <si>
    <t>Deficiente</t>
  </si>
  <si>
    <t>Peso</t>
  </si>
  <si>
    <t>Muy bueno</t>
  </si>
  <si>
    <t>Aceptable</t>
  </si>
  <si>
    <t>Sobresaliente</t>
  </si>
  <si>
    <t>No aceptable</t>
  </si>
  <si>
    <t>Color Referencia</t>
  </si>
  <si>
    <t>Integrantes:</t>
  </si>
  <si>
    <t>Entidades a tablas</t>
  </si>
  <si>
    <t>Conversión de atributos a atributos</t>
  </si>
  <si>
    <t>Propagación de 1-N</t>
  </si>
  <si>
    <t>Propagación de 1-1</t>
  </si>
  <si>
    <t>Propagación de N-N</t>
  </si>
  <si>
    <t>Llaves primarias</t>
  </si>
  <si>
    <t>Presenta el 100% de las entidades en su forma de tabla.</t>
  </si>
  <si>
    <t>Presenta entre el 99% y el 90% de las entidades en su forma de tabla.</t>
  </si>
  <si>
    <t>Presenta entre el 89% y el 80% de las entidades en su forma de tabla.</t>
  </si>
  <si>
    <t>Presenta el 100% de los atributos de las tablas con su respectivo formato.</t>
  </si>
  <si>
    <t>Presenta entre el 99% y el 90% de los atributos de las tablas con su respectivo formato.</t>
  </si>
  <si>
    <t>Presenta entre el 89% y el 80% de los atributos de las tablas con su respectivo formato.</t>
  </si>
  <si>
    <t>Se encuentran el 100% de las llaves primarias debidamente identificadas en el modelo</t>
  </si>
  <si>
    <t>Se encuentra entre 99% y el 90% de las llaves primarias debidamente identificadas en el modelo</t>
  </si>
  <si>
    <t>Se encuentra entre 89% y el 80% de las llaves primarias debidamente identificadas en el modelo</t>
  </si>
  <si>
    <t>Entre el 99%  y el 90% de las relaciones 1-N presentan una correcta propagación de llave foránea</t>
  </si>
  <si>
    <t>Entre el 89%  y el 80% de las relaciones 1-N presentan una correcta propagación de llave foránea</t>
  </si>
  <si>
    <t>Entre el 99%  y el 90% de las relaciones 1-1 presentan una correcta propagación de llave foránea</t>
  </si>
  <si>
    <t>Entre el 89%  y el 80% de las relaciones 1-1 presentan una correcta propagación de llave foránea</t>
  </si>
  <si>
    <t>Presenta entre el 79% y el 60% de las entidades en su forma de tabla.</t>
  </si>
  <si>
    <t>Presenta menos del 60% de las entidades en su forma de tabla</t>
  </si>
  <si>
    <t>Entre el 79%  y el 60% de las relaciones 1-N presentan una correcta propagación de llave foránea</t>
  </si>
  <si>
    <t>Menos del 60% de las relaciones 1-N presentan una correcta propagación de llave foránea.</t>
  </si>
  <si>
    <t>Entre el 79%  y el 60% de las relaciones 1-1 presentan una correcta propagación de llave foránea</t>
  </si>
  <si>
    <t>Menos del 60% de las relaciones 1-1 presentan una correcta propagación de llave foránea.</t>
  </si>
  <si>
    <t>Se encuentra entre 79% y el 60% de las llaves primarias debidamente identificadas en el modelo</t>
  </si>
  <si>
    <t>Se encuentra menos del 60% de las llaves primarias debidamente identificadas en el modelo</t>
  </si>
  <si>
    <t xml:space="preserve">Presenta entre el 99%  y el 90% de las relaciones N-N con su respectiva tabla y llave compuesta.  </t>
  </si>
  <si>
    <t xml:space="preserve">Presenta entre el 89%  y el 80% de las relaciones N-N con su respectiva tabla y llave compuesta.  </t>
  </si>
  <si>
    <t xml:space="preserve">Presenta entre el 79%  y el 60% de las relaciones N-N con su respectiva tabla y llave compuesta.  </t>
  </si>
  <si>
    <t>Presenta entre el 79% y el 60% de los atributos de las tablas con su respectivo formato.</t>
  </si>
  <si>
    <t>Presenta menos del 60% de los atributos de las tablas con su respectivo formato.</t>
  </si>
  <si>
    <t>Presenta menos del 60% de las relaciones N-N con su respectiva tabla y llave compuesta.</t>
  </si>
  <si>
    <t>El 100% de las relaciones 1-N presentan una correcta propagación de llave foránea. Las referencias están bien nombradas y correctas.</t>
  </si>
  <si>
    <t>El 100% de las relaciones 1-1 presentan una correcta propagación de llave foránea. Las referencias están bien nombradas y correctas.</t>
  </si>
  <si>
    <t xml:space="preserve">Presenta el 100% de las relaciones N-N con su respectiva tabla y llave compuesta. Las referencias están bien nombradas y correctas.  </t>
  </si>
  <si>
    <t>Estándares</t>
  </si>
  <si>
    <t>Cumple con lo anterior pero requiere leves mejoras.</t>
  </si>
  <si>
    <t>Cumple con los estándares en los nombres de entidades y atributos. Los nombres de las entidades están en singular y son significativos.
Todo debe estar en inglés.</t>
  </si>
  <si>
    <t>No cumple con el estándar de representación del modelo conceptual tradicional.
Mezcla representaciones tales como la tradicional y la UML.</t>
  </si>
  <si>
    <t>Cumple con lo anterior de los nombres no son significativos o no cumplen con el estándar.</t>
  </si>
  <si>
    <t>No cumple con estándares en más del 20% del trabajo.</t>
  </si>
  <si>
    <t>Comentarios</t>
  </si>
  <si>
    <t>En la tabla Favorite el id es incorrecto. El idArticle y idUser son FK y PK a la vez. En la tabla Review el id es incorrecto. El idArticle y idUser son FK y PK a la vez.</t>
  </si>
  <si>
    <t>En la tabla gender el PK está mal colocado.</t>
  </si>
  <si>
    <t>Falta el atributo de foto en User.</t>
  </si>
  <si>
    <t>Falta un FK que indique a que universidad o periódico pertenece un catálogo.</t>
  </si>
  <si>
    <t xml:space="preserve">Falta el FK en person que indique donde vive la persona (no necesariamente vive en el mismo lugar que al campus que asiste).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</si>
</sst>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DD090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BB33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158A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9">
    <xf numFmtId="0" fontId="0" fillId="0" borderId="0" xfId="0"/>
    <xf numFmtId="0" fontId="0" fillId="0" borderId="0" xfId="0" applyAlignment="1">
      <alignment wrapText="1"/>
    </xf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9" fontId="0" fillId="0" borderId="0" xfId="1" applyFont="1" applyAlignment="1">
      <alignment vertical="center"/>
    </xf>
    <xf numFmtId="9" fontId="0" fillId="0" borderId="0" xfId="1" applyFont="1"/>
    <xf numFmtId="0" fontId="0" fillId="8" borderId="1" xfId="0" applyFill="1" applyBorder="1" applyAlignment="1">
      <alignment horizontal="center" vertical="center" wrapText="1"/>
    </xf>
    <xf numFmtId="9" fontId="0" fillId="0" borderId="0" xfId="0" applyNumberFormat="1"/>
    <xf numFmtId="0" fontId="0" fillId="0" borderId="0" xfId="0" applyAlignment="1">
      <alignment vertical="center" wrapText="1"/>
    </xf>
    <xf numFmtId="0" fontId="2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8" borderId="2" xfId="0" applyFill="1" applyBorder="1" applyAlignment="1">
      <alignment horizontal="left" vertical="top" wrapText="1"/>
    </xf>
    <xf numFmtId="0" fontId="0" fillId="8" borderId="0" xfId="0" applyFill="1" applyAlignment="1">
      <alignment horizontal="left" vertical="top" wrapText="1"/>
    </xf>
    <xf numFmtId="0" fontId="0" fillId="0" borderId="0" xfId="0" applyAlignment="1">
      <alignment horizontal="center" wrapText="1"/>
    </xf>
    <xf numFmtId="0" fontId="3" fillId="0" borderId="0" xfId="0" applyFont="1" applyAlignment="1">
      <alignment horizont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15"/>
  <sheetViews>
    <sheetView tabSelected="1" zoomScale="70" zoomScaleNormal="70" workbookViewId="0">
      <selection activeCell="D5" sqref="D5"/>
    </sheetView>
  </sheetViews>
  <sheetFormatPr baseColWidth="10" defaultColWidth="11.44140625" defaultRowHeight="14.4" x14ac:dyDescent="0.3"/>
  <cols>
    <col min="1" max="1" width="12.109375" bestFit="1" customWidth="1"/>
    <col min="4" max="6" width="37.5546875" style="1" customWidth="1"/>
    <col min="7" max="7" width="31.33203125" style="1" customWidth="1"/>
    <col min="8" max="8" width="31.109375" style="1" customWidth="1"/>
    <col min="9" max="9" width="59.33203125" customWidth="1"/>
    <col min="10" max="10" width="0" hidden="1" customWidth="1"/>
    <col min="11" max="11" width="15.6640625" bestFit="1" customWidth="1"/>
  </cols>
  <sheetData>
    <row r="1" spans="1:10" x14ac:dyDescent="0.3">
      <c r="D1" s="17" t="s">
        <v>1</v>
      </c>
      <c r="E1" s="17"/>
      <c r="F1" s="17"/>
      <c r="G1" s="17"/>
      <c r="H1" s="17"/>
    </row>
    <row r="2" spans="1:10" x14ac:dyDescent="0.3">
      <c r="A2" s="6" t="s">
        <v>0</v>
      </c>
      <c r="B2" s="4" t="s">
        <v>3</v>
      </c>
      <c r="C2" s="5"/>
      <c r="D2" s="13" t="s">
        <v>6</v>
      </c>
      <c r="E2" s="3" t="s">
        <v>4</v>
      </c>
      <c r="F2" s="4" t="s">
        <v>5</v>
      </c>
      <c r="G2" s="5" t="s">
        <v>2</v>
      </c>
      <c r="H2" s="2" t="s">
        <v>7</v>
      </c>
      <c r="J2" t="s">
        <v>8</v>
      </c>
    </row>
    <row r="3" spans="1:10" x14ac:dyDescent="0.3">
      <c r="A3" s="6"/>
      <c r="B3" s="4"/>
      <c r="C3" s="5"/>
      <c r="D3" s="13">
        <v>4</v>
      </c>
      <c r="E3" s="3">
        <v>3</v>
      </c>
      <c r="F3" s="4">
        <v>2</v>
      </c>
      <c r="G3" s="5">
        <v>1</v>
      </c>
      <c r="H3" s="2">
        <v>0</v>
      </c>
      <c r="J3" s="7"/>
    </row>
    <row r="4" spans="1:10" ht="18" x14ac:dyDescent="0.35">
      <c r="A4" s="18" t="s">
        <v>9</v>
      </c>
      <c r="B4" s="18"/>
      <c r="C4" s="18"/>
      <c r="D4" s="18"/>
      <c r="E4" s="18"/>
      <c r="F4" s="18"/>
      <c r="G4" s="18"/>
      <c r="H4" s="18"/>
      <c r="I4" s="14" t="s">
        <v>52</v>
      </c>
    </row>
    <row r="5" spans="1:10" ht="161.4" customHeight="1" x14ac:dyDescent="0.3">
      <c r="A5" s="12" t="s">
        <v>10</v>
      </c>
      <c r="B5" s="8">
        <v>0.1</v>
      </c>
      <c r="C5" s="8" cm="1">
        <f t="array" aca="1" ref="C5" ca="1">INDIRECT(ADDRESS(3,CONTARCOLOR($J$3,D5:H5)))*B5/$D$3</f>
        <v>0.1</v>
      </c>
      <c r="D5" s="7" t="s">
        <v>16</v>
      </c>
      <c r="E5" s="10" t="s">
        <v>17</v>
      </c>
      <c r="F5" s="10" t="s">
        <v>18</v>
      </c>
      <c r="G5" s="10" t="s">
        <v>29</v>
      </c>
      <c r="H5" s="10" t="s">
        <v>30</v>
      </c>
      <c r="I5" s="15"/>
    </row>
    <row r="6" spans="1:10" ht="120" customHeight="1" x14ac:dyDescent="0.3">
      <c r="A6" s="12" t="s">
        <v>11</v>
      </c>
      <c r="B6" s="8">
        <v>0.1</v>
      </c>
      <c r="C6" s="8" cm="1">
        <f t="array" aca="1" ref="C6" ca="1">INDIRECT(ADDRESS(3,CONTARCOLOR($J$3,D6:H6)))*B6/$D$3</f>
        <v>7.5000000000000011E-2</v>
      </c>
      <c r="D6" s="10" t="s">
        <v>19</v>
      </c>
      <c r="E6" s="7" t="s">
        <v>20</v>
      </c>
      <c r="F6" s="10" t="s">
        <v>21</v>
      </c>
      <c r="G6" s="10" t="s">
        <v>40</v>
      </c>
      <c r="H6" s="10" t="s">
        <v>41</v>
      </c>
      <c r="I6" s="15" t="s">
        <v>55</v>
      </c>
    </row>
    <row r="7" spans="1:10" ht="120" customHeight="1" x14ac:dyDescent="0.3">
      <c r="A7" s="12" t="s">
        <v>12</v>
      </c>
      <c r="B7" s="8">
        <v>0.25</v>
      </c>
      <c r="C7" s="8" cm="1">
        <f t="array" aca="1" ref="C7" ca="1">INDIRECT(ADDRESS(3,CONTARCOLOR($J$3,D7:H7)))*B7/$D$3</f>
        <v>0.1875</v>
      </c>
      <c r="D7" s="10" t="s">
        <v>43</v>
      </c>
      <c r="E7" s="7" t="s">
        <v>25</v>
      </c>
      <c r="F7" s="10" t="s">
        <v>26</v>
      </c>
      <c r="G7" s="10" t="s">
        <v>31</v>
      </c>
      <c r="H7" s="10" t="s">
        <v>32</v>
      </c>
      <c r="I7" s="15" t="s">
        <v>57</v>
      </c>
    </row>
    <row r="8" spans="1:10" ht="120" customHeight="1" x14ac:dyDescent="0.3">
      <c r="A8" s="12" t="s">
        <v>13</v>
      </c>
      <c r="B8" s="8">
        <v>0.1</v>
      </c>
      <c r="C8" s="8" cm="1">
        <f t="array" aca="1" ref="C8" ca="1">INDIRECT(ADDRESS(3,CONTARCOLOR($J$3,D8:H8)))*B8/$D$3</f>
        <v>7.5000000000000011E-2</v>
      </c>
      <c r="D8" s="10" t="s">
        <v>44</v>
      </c>
      <c r="E8" s="7" t="s">
        <v>27</v>
      </c>
      <c r="F8" s="10" t="s">
        <v>28</v>
      </c>
      <c r="G8" s="10" t="s">
        <v>33</v>
      </c>
      <c r="H8" s="10" t="s">
        <v>34</v>
      </c>
      <c r="I8" s="16" t="s">
        <v>56</v>
      </c>
    </row>
    <row r="9" spans="1:10" ht="120" customHeight="1" x14ac:dyDescent="0.3">
      <c r="A9" s="12" t="s">
        <v>14</v>
      </c>
      <c r="B9" s="8">
        <v>0.25</v>
      </c>
      <c r="C9" s="8" cm="1">
        <f t="array" aca="1" ref="C9" ca="1">INDIRECT(ADDRESS(3,CONTARCOLOR($J$3,D9:H9)))*B9/$D$3</f>
        <v>0.1875</v>
      </c>
      <c r="D9" s="10" t="s">
        <v>45</v>
      </c>
      <c r="E9" s="7" t="s">
        <v>37</v>
      </c>
      <c r="F9" s="10" t="s">
        <v>38</v>
      </c>
      <c r="G9" s="10" t="s">
        <v>39</v>
      </c>
      <c r="H9" s="10" t="s">
        <v>42</v>
      </c>
      <c r="I9" s="16" t="s">
        <v>53</v>
      </c>
    </row>
    <row r="10" spans="1:10" ht="120" customHeight="1" x14ac:dyDescent="0.3">
      <c r="A10" s="12" t="s">
        <v>15</v>
      </c>
      <c r="B10" s="8">
        <v>0.1</v>
      </c>
      <c r="C10" s="8" cm="1">
        <f t="array" aca="1" ref="C10" ca="1">INDIRECT(ADDRESS(3,CONTARCOLOR($J$3,D10:H10)))*B10/$D$3</f>
        <v>7.5000000000000011E-2</v>
      </c>
      <c r="D10" s="10" t="s">
        <v>22</v>
      </c>
      <c r="E10" s="7" t="s">
        <v>23</v>
      </c>
      <c r="F10" s="10" t="s">
        <v>24</v>
      </c>
      <c r="G10" s="10" t="s">
        <v>35</v>
      </c>
      <c r="H10" s="10" t="s">
        <v>36</v>
      </c>
      <c r="I10" s="16" t="s">
        <v>54</v>
      </c>
    </row>
    <row r="11" spans="1:10" ht="120" customHeight="1" x14ac:dyDescent="0.3">
      <c r="A11" s="12" t="s">
        <v>46</v>
      </c>
      <c r="B11" s="8">
        <v>0.1</v>
      </c>
      <c r="C11" s="8" cm="1">
        <f t="array" aca="1" ref="C11" ca="1">INDIRECT(ADDRESS(3,CONTARCOLOR($J$3,D11:H11)))*B11/$D$3</f>
        <v>0.1</v>
      </c>
      <c r="D11" s="7" t="s">
        <v>48</v>
      </c>
      <c r="E11" s="10" t="s">
        <v>47</v>
      </c>
      <c r="F11" s="10" t="s">
        <v>50</v>
      </c>
      <c r="G11" s="10" t="s">
        <v>49</v>
      </c>
      <c r="H11" s="10" t="s">
        <v>51</v>
      </c>
    </row>
    <row r="13" spans="1:10" x14ac:dyDescent="0.3">
      <c r="B13" s="9"/>
      <c r="I13" s="1"/>
    </row>
    <row r="14" spans="1:10" x14ac:dyDescent="0.3">
      <c r="B14" s="9">
        <f>SUM(B5:B11)</f>
        <v>1</v>
      </c>
      <c r="C14" s="11">
        <f ca="1">SUM(C5:C11)</f>
        <v>0.79999999999999993</v>
      </c>
      <c r="I14" s="1"/>
    </row>
    <row r="15" spans="1:10" x14ac:dyDescent="0.3">
      <c r="I15" s="1"/>
    </row>
  </sheetData>
  <mergeCells count="2">
    <mergeCell ref="D1:H1"/>
    <mergeCell ref="A4:H4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Modelo E-R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Josué Jiménez</dc:creator>
  <cp:lastModifiedBy>Marco</cp:lastModifiedBy>
  <dcterms:created xsi:type="dcterms:W3CDTF">2017-09-04T23:23:49Z</dcterms:created>
  <dcterms:modified xsi:type="dcterms:W3CDTF">2022-09-16T21:51:18Z</dcterms:modified>
</cp:coreProperties>
</file>