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9f3985243025a284/Documents/ITCR/01 - Bachillerato/06 - Bases de Datos 1/04 - Proyectos/Periódico Digital/"/>
    </mc:Choice>
  </mc:AlternateContent>
  <xr:revisionPtr revIDLastSave="211" documentId="13_ncr:1_{43C75D40-1DAF-48F1-8AF3-FA7758AA0FD2}" xr6:coauthVersionLast="47" xr6:coauthVersionMax="47" xr10:uidLastSave="{1C3E7517-DE42-48F6-83E4-E97B426F8E6F}"/>
  <bookViews>
    <workbookView xWindow="-120" yWindow="-120" windowWidth="29040" windowHeight="15840" xr2:uid="{00000000-000D-0000-FFFF-FFFF00000000}"/>
  </bookViews>
  <sheets>
    <sheet name="Modelo E-R"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4" i="1" l="1"/>
  <c r="C12" i="1" a="1"/>
  <c r="C5" i="1" a="1"/>
  <c r="C8" i="1" a="1"/>
  <c r="C7" i="1" a="1"/>
  <c r="C9" i="1" a="1"/>
  <c r="C6" i="1" a="1"/>
  <c r="C10" i="1" a="1"/>
  <c r="C11" i="1" a="1"/>
  <c r="C12" i="1" l="1"/>
  <c r="C9" i="1"/>
  <c r="C11" i="1"/>
  <c r="C8" i="1"/>
  <c r="C7" i="1"/>
  <c r="C10" i="1"/>
  <c r="C6" i="1"/>
  <c r="C5" i="1"/>
  <c r="C14"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<sst xmlns="http://schemas.openxmlformats.org/spreadsheetml/2006/main" count="65" uniqueCount="57">
  <si>
    <t>Rubro</t>
  </si>
  <si>
    <t>Descripción</t>
  </si>
  <si>
    <t>Deficiente</t>
  </si>
  <si>
    <t>Entidades</t>
  </si>
  <si>
    <t>Peso</t>
  </si>
  <si>
    <t>Cardinalidad</t>
  </si>
  <si>
    <t>Llaves</t>
  </si>
  <si>
    <t>Atributos</t>
  </si>
  <si>
    <t>Relaciones</t>
  </si>
  <si>
    <t>Escalabilidad</t>
  </si>
  <si>
    <t>No reprecenta las cardinalidades entre las conexiones.</t>
  </si>
  <si>
    <t>Las relaciones no son utilizadas correctamente, ya que faltan o no tienen sentido las utilizadas.</t>
  </si>
  <si>
    <t>Muy bueno</t>
  </si>
  <si>
    <t>Aceptable</t>
  </si>
  <si>
    <t>Sobresaliente</t>
  </si>
  <si>
    <t>No aceptable</t>
  </si>
  <si>
    <t>Las relaciones entre las entidades reflejan el universo del sistema y no presenta relaciones circulares. Identifica correctamente las relaciones de herencia o generalización.</t>
  </si>
  <si>
    <t>La base de datos está diseñada de forma tal que sólo permite el desarrollo de los requerimientos actuales. Cualquier nuevo requerimiento requiere cambios considerables la modelo y al código.</t>
  </si>
  <si>
    <t>No se consideró un diseño escalable. Cualquier solicitud de cambio futuro requiere desechar parte del modelo y recodificación.</t>
  </si>
  <si>
    <t>La base de datos está diseñada para cumplir con el atributo de calidad de escalabilidad, ya sea para futuros nuevos requierimientos o mejoras en el sistema. Los cambios a futuro implican ninguna o leves modificaciones al diseño de la base de datos y al código.</t>
  </si>
  <si>
    <t>Cumple con lo anterior pero requiere leves mejoras.</t>
  </si>
  <si>
    <t>Estándares</t>
  </si>
  <si>
    <t>Identifica el 100% de los atributos de forma tal que se puedan generar todos los procesos, reportes y consultas. Utiliza correctamente los diferentes tipos de atributos (atómicos, multivalorados, derivados,  opcionales). Estos se diferencian correctamente según las caracteristicas de diseño de un modelado E/R. Los atributos identifican de forma correcta y completa en la entidad correspondiente.</t>
  </si>
  <si>
    <t xml:space="preserve">Identifica correctamente todas las  entidades del sistema de forma que se puedan generar todos los procesos, reportes y consultas solicitadas en la especificación del proyecto. Todas las entidades están conectadas en el modelo (a excepción de las entidades de parametrización). </t>
  </si>
  <si>
    <t>Le falta identificar un máximo de 10% de las entidades.</t>
  </si>
  <si>
    <t>Le falta identificar más del 20% de las entidades.</t>
  </si>
  <si>
    <t>Le falta identificar entre el 10% y el 20% de las entidades.</t>
  </si>
  <si>
    <t>Presenta entidades sin atributos.</t>
  </si>
  <si>
    <t>Le falta identificar un máximo de 10% de los atributos.</t>
  </si>
  <si>
    <t>Le falta identificar entre el 10% y el 20% de los atributos.</t>
  </si>
  <si>
    <t>Presenta relaciones circulares.
Hay redundancia de datos.</t>
  </si>
  <si>
    <t>No identifica correctamente el 10% de las relaciones.</t>
  </si>
  <si>
    <t>Presenta los diferentes tipos de relaciones en el diagrama (1:1, 1:n, n:m) y estos reflejan el universo completo del sistema diseñado.  Estas relaciones poseen sus propios atributos de ser necesario.</t>
  </si>
  <si>
    <t>No identifica correctamente el 10% de las cardinalidades.</t>
  </si>
  <si>
    <t>No identifica correctamente más del 10 % de las cardinalidades.</t>
  </si>
  <si>
    <t>Integridad</t>
  </si>
  <si>
    <t>El diseño de la base de datos no permite que el usuario ingrese datos basura.</t>
  </si>
  <si>
    <t>Cumple con lo anterior en el 90% del modelo pero requiere mejoras.</t>
  </si>
  <si>
    <t>Permite ingresar datos basura entre el 10% y el 20% del modelo.</t>
  </si>
  <si>
    <t>Permite ingresar datos basura en más del 20% del modelo.</t>
  </si>
  <si>
    <t>Todas las entidades tienen su respectiva llave.</t>
  </si>
  <si>
    <t>Color Referencia</t>
  </si>
  <si>
    <t>Le falta identificar un máximo de 10% de las llaves.</t>
  </si>
  <si>
    <t>Le falta identificar entre el 10% y el 20% de las llaves.</t>
  </si>
  <si>
    <t>Presenta más del 20% de entidades sin llaves.</t>
  </si>
  <si>
    <t>Cumple con los estándares en los nombres de entidades y atributos. Los nombres de las entidades están en singular y son significativos.
Todo debe estar en inglés.</t>
  </si>
  <si>
    <t>Cumple con lo anterior de los nombres no son significativos o no cumplen con el estándar.</t>
  </si>
  <si>
    <t>No cumple con el estándar de representación del modelo conceptual tradicional.
Mezcla representaciones tales como la tradicional y la UML.</t>
  </si>
  <si>
    <t>No cumple con estándares en más del 20% del trabajo.</t>
  </si>
  <si>
    <t>Observaciones</t>
  </si>
  <si>
    <t xml:space="preserve">Autor en article permite errores de integridad.
Username en log permite errores de integridad. </t>
  </si>
  <si>
    <t>En photo el campo type no es significativo. ¿Qué es?</t>
  </si>
  <si>
    <t>Artitle - review, la relación no es n - n, es 1 - n. Un review no es de 2 artículos.
La cardinalidad en collegue y dirección (país, etc) está mal. No puede responder en qué distrito está la universidad. 
La cardinalidad entre person - committee está incorrecta.
La cardinalidad entre catalog y author está mal. ¿Qué pasa si varios autores van a comprar el mismo producto?</t>
  </si>
  <si>
    <t>No se pueden hacer periódicos por sede (no bajo puntos por esto). Es una observación.
Autor en article debiera ser una entidad.
Falta la entidad phone.
¿Qué van a guardar en category que lo relacionan por igual con administrative y professor?
Los tipos de personas que crearon tienen pocos campos específicos. ¿Por qué lo hicieron así? Falta esa justificación de diseño.
Falta la entidad de favoritos.</t>
  </si>
  <si>
    <t>Relación person - committee no debe ser herencia
Status va a artitle no a committee
No hay relación entre los favoritos, el usuario que le gusta el artículo y el artículo correspondiente. La entidad point no responde esto. Está mal diseñado.
Los puntos deberían estar asociados o calcularse con los favoritos que le dan al artículo.
¿Cómo se sabe quién es el autor de un artículo si no hay review?</t>
  </si>
  <si>
    <t>Falta género.
Falta fecha de publicación de un artículo, no es lo mismo que la de creación porque la publicación dependerá de la aprobación del comité.
Falta cedula en person. No van a poder registrar personas que trabajan en diferentes universidades.
Falta disponibilidad del producto.
Falta el campo calculado del promedio de los favoritos.</t>
  </si>
  <si>
    <t>Integrantes: Grupo 1, Nicole, Lucas, Jeffrey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</si>
</sst>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s>
  <fills count="10">
    <fill>
      <patternFill patternType="none"/>
    </fill>
    <fill>
      <patternFill patternType="gray125"/>
    </fill>
    <fill>
      <patternFill patternType="solid">
        <fgColor rgb="FFDD0909"/>
        <bgColor indexed="64"/>
      </patternFill>
    </fill>
    <fill>
      <patternFill patternType="solid">
        <fgColor rgb="FF92D050"/>
        <bgColor indexed="64"/>
      </patternFill>
    </fill>
    <fill>
      <patternFill patternType="solid">
        <fgColor rgb="FFFFBB33"/>
        <bgColor indexed="64"/>
      </patternFill>
    </fill>
    <fill>
      <patternFill patternType="solid">
        <fgColor rgb="FFCC6600"/>
        <bgColor indexed="64"/>
      </patternFill>
    </fill>
    <fill>
      <patternFill patternType="solid">
        <fgColor rgb="FF158AFF"/>
        <bgColor indexed="64"/>
      </patternFill>
    </fill>
    <fill>
      <patternFill patternType="solid">
        <fgColor rgb="FFFFFF00"/>
        <bgColor indexed="64"/>
      </patternFill>
    </fill>
    <fill>
      <patternFill patternType="solid">
        <fgColor rgb="FFFFFFFF"/>
        <bgColor indexed="64"/>
      </patternFill>
    </fill>
    <fill>
      <patternFill patternType="solid">
        <fgColor theme="4" tint="0.399975585192419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9" fontId="1" fillId="0" borderId="0" applyFont="0" applyFill="0" applyBorder="0" applyAlignment="0" applyProtection="0"/>
  </cellStyleXfs>
  <cellXfs count="21">
    <xf numFmtId="0" fontId="0" fillId="0" borderId="0" xfId="0"/>
    <xf numFmtId="0" fontId="0" fillId="0" borderId="0" xfId="0" applyAlignment="1">
      <alignment wrapText="1"/>
    </xf>
    <xf numFmtId="0" fontId="0" fillId="0" borderId="0" xfId="0" applyAlignment="1">
      <alignment vertical="center"/>
    </xf>
    <xf numFmtId="0" fontId="0" fillId="0" borderId="0" xfId="0" applyNumberFormat="1" applyAlignment="1">
      <alignment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2" fillId="4" borderId="0" xfId="0" applyFont="1" applyFill="1" applyAlignment="1">
      <alignment horizontal="center" vertical="center"/>
    </xf>
    <xf numFmtId="0" fontId="2" fillId="5" borderId="0" xfId="0" applyFont="1" applyFill="1" applyAlignment="1">
      <alignment horizontal="center" vertical="center"/>
    </xf>
    <xf numFmtId="0" fontId="2" fillId="6" borderId="0" xfId="0" applyFont="1" applyFill="1" applyAlignment="1">
      <alignment horizontal="center" vertical="center"/>
    </xf>
    <xf numFmtId="0" fontId="0" fillId="7" borderId="1" xfId="0" applyFill="1" applyBorder="1" applyAlignment="1">
      <alignment horizontal="center" vertical="center" wrapText="1"/>
    </xf>
    <xf numFmtId="9" fontId="0" fillId="0" borderId="0" xfId="1" applyFont="1" applyAlignment="1">
      <alignment vertical="center"/>
    </xf>
    <xf numFmtId="9" fontId="0" fillId="0" borderId="0" xfId="1" applyFont="1"/>
    <xf numFmtId="0" fontId="0" fillId="8" borderId="1" xfId="0" applyFill="1" applyBorder="1" applyAlignment="1">
      <alignment horizontal="center" vertical="center" wrapText="1"/>
    </xf>
    <xf numFmtId="9" fontId="0" fillId="0" borderId="0" xfId="0" applyNumberFormat="1"/>
    <xf numFmtId="0" fontId="2" fillId="9" borderId="0" xfId="0" applyFont="1" applyFill="1" applyAlignment="1">
      <alignment horizontal="center" vertical="center"/>
    </xf>
    <xf numFmtId="0" fontId="0" fillId="0" borderId="0" xfId="0" applyAlignment="1">
      <alignment horizontal="center" wrapText="1"/>
    </xf>
    <xf numFmtId="0" fontId="3" fillId="0" borderId="0" xfId="0" applyFont="1" applyAlignment="1">
      <alignment horizontal="center"/>
    </xf>
    <xf numFmtId="49" fontId="0" fillId="0" borderId="0" xfId="0" applyNumberFormat="1" applyAlignment="1">
      <alignment wrapText="1"/>
    </xf>
    <xf numFmtId="49" fontId="0" fillId="0" borderId="0" xfId="0" applyNumberFormat="1" applyFill="1" applyAlignment="1">
      <alignment horizontal="center" wrapText="1"/>
    </xf>
    <xf numFmtId="49" fontId="0" fillId="8" borderId="2" xfId="0" applyNumberFormat="1" applyFill="1" applyBorder="1" applyAlignment="1">
      <alignment horizontal="left" vertical="center" wrapText="1"/>
    </xf>
    <xf numFmtId="49" fontId="0" fillId="0" borderId="0" xfId="0" applyNumberFormat="1" applyAlignment="1">
      <alignment horizontal="left" wrapText="1"/>
    </xf>
  </cellXfs>
  <cellStyles count="2">
    <cellStyle name="Normal" xfId="0" builtinId="0"/>
    <cellStyle name="Percent" xfId="1" builtinId="5"/>
  </cellStyles>
  <dxfs count="0"/>
  <tableStyles count="0" defaultTableStyle="TableStyleMedium2" defaultPivotStyle="PivotStyleLight16"/>
  <colors>
    <mruColors>
      <color rgb="FF66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14"/>
  <sheetViews>
    <sheetView tabSelected="1" topLeftCell="A4" zoomScale="85" zoomScaleNormal="85" workbookViewId="0">
      <selection activeCell="A5" sqref="A5"/>
    </sheetView>
  </sheetViews>
  <sheetFormatPr defaultColWidth="11.42578125" defaultRowHeight="15" x14ac:dyDescent="0.25"/>
  <cols>
    <col min="1" max="1" width="19.5703125" customWidth="1"/>
    <col min="4" max="6" width="37.5703125" style="1" customWidth="1"/>
    <col min="7" max="7" width="31.28515625" style="1" customWidth="1"/>
    <col min="8" max="8" width="31.140625" style="1" customWidth="1"/>
    <col min="9" max="9" width="77.5703125" style="17" customWidth="1"/>
    <col min="10" max="10" width="86" hidden="1" customWidth="1"/>
    <col min="11" max="11" width="15.7109375" bestFit="1" customWidth="1"/>
  </cols>
  <sheetData>
    <row r="1" spans="1:10" x14ac:dyDescent="0.25">
      <c r="D1" s="15" t="s">
        <v>1</v>
      </c>
      <c r="E1" s="15"/>
      <c r="F1" s="15"/>
      <c r="G1" s="15"/>
      <c r="H1" s="15"/>
    </row>
    <row r="2" spans="1:10" x14ac:dyDescent="0.25">
      <c r="A2" s="8" t="s">
        <v>0</v>
      </c>
      <c r="B2" s="6" t="s">
        <v>4</v>
      </c>
      <c r="C2" s="7"/>
      <c r="D2" s="14" t="s">
        <v>14</v>
      </c>
      <c r="E2" s="5" t="s">
        <v>12</v>
      </c>
      <c r="F2" s="6" t="s">
        <v>13</v>
      </c>
      <c r="G2" s="7" t="s">
        <v>2</v>
      </c>
      <c r="H2" s="4" t="s">
        <v>15</v>
      </c>
      <c r="I2" s="18" t="s">
        <v>49</v>
      </c>
      <c r="J2" t="s">
        <v>41</v>
      </c>
    </row>
    <row r="3" spans="1:10" x14ac:dyDescent="0.25">
      <c r="A3" s="8"/>
      <c r="B3" s="6"/>
      <c r="C3" s="7"/>
      <c r="D3" s="14">
        <v>4</v>
      </c>
      <c r="E3" s="5">
        <v>3</v>
      </c>
      <c r="F3" s="6">
        <v>2</v>
      </c>
      <c r="G3" s="7">
        <v>1</v>
      </c>
      <c r="H3" s="4">
        <v>0</v>
      </c>
      <c r="I3" s="18"/>
      <c r="J3" s="9"/>
    </row>
    <row r="4" spans="1:10" ht="18.75" x14ac:dyDescent="0.3">
      <c r="A4" s="16" t="s">
        <v>56</v>
      </c>
      <c r="B4" s="16"/>
      <c r="C4" s="16"/>
      <c r="D4" s="16"/>
      <c r="E4" s="16"/>
      <c r="F4" s="16"/>
      <c r="G4" s="16"/>
      <c r="H4" s="16"/>
    </row>
    <row r="5" spans="1:10" ht="135" x14ac:dyDescent="0.25">
      <c r="A5" s="2" t="s">
        <v>3</v>
      </c>
      <c r="B5" s="10">
        <v>0.2</v>
      </c>
      <c r="C5" s="10" cm="1">
        <f t="array" aca="1" ref="C5" ca="1">INDIRECT(ADDRESS(3,CONTARCOLOR($J$3,D5:H5)))*B5/$D$3</f>
        <v>0.05</v>
      </c>
      <c r="D5" s="12" t="s">
        <v>23</v>
      </c>
      <c r="E5" s="12" t="s">
        <v>20</v>
      </c>
      <c r="F5" s="12" t="s">
        <v>24</v>
      </c>
      <c r="G5" s="9" t="s">
        <v>26</v>
      </c>
      <c r="H5" s="12" t="s">
        <v>25</v>
      </c>
      <c r="I5" s="19" t="s">
        <v>53</v>
      </c>
    </row>
    <row r="6" spans="1:10" ht="30" x14ac:dyDescent="0.25">
      <c r="A6" s="2" t="s">
        <v>6</v>
      </c>
      <c r="B6" s="10">
        <v>0.05</v>
      </c>
      <c r="C6" s="10" cm="1">
        <f t="array" aca="1" ref="C6" ca="1">INDIRECT(ADDRESS(3,CONTARCOLOR($J$3,D6:H6)))*B6/$D$3</f>
        <v>0.05</v>
      </c>
      <c r="D6" s="9" t="s">
        <v>40</v>
      </c>
      <c r="E6" s="12" t="s">
        <v>20</v>
      </c>
      <c r="F6" s="12" t="s">
        <v>42</v>
      </c>
      <c r="G6" s="12" t="s">
        <v>43</v>
      </c>
      <c r="H6" s="12" t="s">
        <v>44</v>
      </c>
    </row>
    <row r="7" spans="1:10" ht="165.6" customHeight="1" x14ac:dyDescent="0.25">
      <c r="A7" s="2" t="s">
        <v>7</v>
      </c>
      <c r="B7" s="10">
        <v>0.1</v>
      </c>
      <c r="C7" s="10" cm="1">
        <f t="array" aca="1" ref="C7" ca="1">INDIRECT(ADDRESS(3,CONTARCOLOR($J$3,D7:H7)))*B7/$D$3</f>
        <v>0.05</v>
      </c>
      <c r="D7" s="12" t="s">
        <v>22</v>
      </c>
      <c r="E7" s="12" t="s">
        <v>20</v>
      </c>
      <c r="F7" s="9" t="s">
        <v>28</v>
      </c>
      <c r="G7" s="12" t="s">
        <v>29</v>
      </c>
      <c r="H7" s="12" t="s">
        <v>27</v>
      </c>
      <c r="I7" s="20" t="s">
        <v>55</v>
      </c>
    </row>
    <row r="8" spans="1:10" ht="105" x14ac:dyDescent="0.25">
      <c r="A8" s="2" t="s">
        <v>8</v>
      </c>
      <c r="B8" s="10">
        <v>0.2</v>
      </c>
      <c r="C8" s="10" cm="1">
        <f t="array" aca="1" ref="C8" ca="1">INDIRECT(ADDRESS(3,CONTARCOLOR($J$3,D8:H8)))*B8/$D$3</f>
        <v>0.05</v>
      </c>
      <c r="D8" s="12" t="s">
        <v>16</v>
      </c>
      <c r="E8" s="12" t="s">
        <v>20</v>
      </c>
      <c r="F8" s="12" t="s">
        <v>31</v>
      </c>
      <c r="G8" s="9" t="s">
        <v>30</v>
      </c>
      <c r="H8" s="12" t="s">
        <v>11</v>
      </c>
      <c r="I8" s="20" t="s">
        <v>54</v>
      </c>
    </row>
    <row r="9" spans="1:10" ht="104.45" customHeight="1" x14ac:dyDescent="0.25">
      <c r="A9" s="2" t="s">
        <v>5</v>
      </c>
      <c r="B9" s="10">
        <v>0.2</v>
      </c>
      <c r="C9" s="10" cm="1">
        <f t="array" aca="1" ref="C9" ca="1">INDIRECT(ADDRESS(3,CONTARCOLOR($J$3,D9:H9)))*B9/$D$3</f>
        <v>0.05</v>
      </c>
      <c r="D9" s="12" t="s">
        <v>32</v>
      </c>
      <c r="E9" s="12" t="s">
        <v>20</v>
      </c>
      <c r="F9" s="12" t="s">
        <v>33</v>
      </c>
      <c r="G9" s="9" t="s">
        <v>34</v>
      </c>
      <c r="H9" s="12" t="s">
        <v>10</v>
      </c>
      <c r="I9" s="20" t="s">
        <v>52</v>
      </c>
    </row>
    <row r="10" spans="1:10" ht="75" x14ac:dyDescent="0.25">
      <c r="A10" s="3" t="s">
        <v>21</v>
      </c>
      <c r="B10" s="10">
        <v>0.05</v>
      </c>
      <c r="C10" s="10" cm="1">
        <f t="array" aca="1" ref="C10" ca="1">INDIRECT(ADDRESS(3,CONTARCOLOR($J$3,D10:H10)))*B10/$D$3</f>
        <v>3.7500000000000006E-2</v>
      </c>
      <c r="D10" s="12" t="s">
        <v>45</v>
      </c>
      <c r="E10" s="9" t="s">
        <v>20</v>
      </c>
      <c r="F10" s="12" t="s">
        <v>46</v>
      </c>
      <c r="G10" s="12" t="s">
        <v>47</v>
      </c>
      <c r="H10" s="12" t="s">
        <v>48</v>
      </c>
      <c r="I10" s="20" t="s">
        <v>51</v>
      </c>
    </row>
    <row r="11" spans="1:10" ht="105" x14ac:dyDescent="0.25">
      <c r="A11" s="3" t="s">
        <v>9</v>
      </c>
      <c r="B11" s="10">
        <v>0.1</v>
      </c>
      <c r="C11" s="10" cm="1">
        <f t="array" aca="1" ref="C11" ca="1">INDIRECT(ADDRESS(3,CONTARCOLOR($J$3,D11:H11)))*B11/$D$3</f>
        <v>0.1</v>
      </c>
      <c r="D11" s="9" t="s">
        <v>19</v>
      </c>
      <c r="E11" s="12" t="s">
        <v>20</v>
      </c>
      <c r="F11" s="12" t="s">
        <v>37</v>
      </c>
      <c r="G11" s="12" t="s">
        <v>17</v>
      </c>
      <c r="H11" s="12" t="s">
        <v>18</v>
      </c>
      <c r="I11" s="20"/>
    </row>
    <row r="12" spans="1:10" ht="45" x14ac:dyDescent="0.25">
      <c r="A12" s="3" t="s">
        <v>35</v>
      </c>
      <c r="B12" s="10">
        <v>0.1</v>
      </c>
      <c r="C12" s="10" cm="1">
        <f t="array" aca="1" ref="C12" ca="1">INDIRECT(ADDRESS(3,CONTARCOLOR($J$3,D12:H12)))*B12/$D$3</f>
        <v>7.5000000000000011E-2</v>
      </c>
      <c r="D12" s="12" t="s">
        <v>36</v>
      </c>
      <c r="E12" s="9" t="s">
        <v>20</v>
      </c>
      <c r="F12" s="12" t="s">
        <v>37</v>
      </c>
      <c r="G12" s="12" t="s">
        <v>38</v>
      </c>
      <c r="H12" s="12" t="s">
        <v>39</v>
      </c>
      <c r="I12" s="19" t="s">
        <v>50</v>
      </c>
    </row>
    <row r="13" spans="1:10" x14ac:dyDescent="0.25">
      <c r="B13" s="11"/>
    </row>
    <row r="14" spans="1:10" x14ac:dyDescent="0.25">
      <c r="B14" s="11">
        <f>SUM(B5:B12)</f>
        <v>1</v>
      </c>
      <c r="C14" s="13">
        <f ca="1">SUM(C5:C12)</f>
        <v>0.46249999999999997</v>
      </c>
    </row>
  </sheetData>
  <mergeCells count="3">
    <mergeCell ref="D1:H1"/>
    <mergeCell ref="A4:H4"/>
    <mergeCell ref="I2:I3"/>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Modelo 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Josué Jiménez</dc:creator>
  <cp:lastModifiedBy>Adriana Álvarez</cp:lastModifiedBy>
  <dcterms:created xsi:type="dcterms:W3CDTF">2017-09-04T23:23:49Z</dcterms:created>
  <dcterms:modified xsi:type="dcterms:W3CDTF">2022-08-31T22:59:17Z</dcterms:modified>
</cp:coreProperties>
</file>